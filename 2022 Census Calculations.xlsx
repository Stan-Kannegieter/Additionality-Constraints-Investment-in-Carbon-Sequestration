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n Kannegieter\Documents\2021-2026 Rice University\School\Research - SOC USA\Data\Farm characteristics\"/>
    </mc:Choice>
  </mc:AlternateContent>
  <xr:revisionPtr revIDLastSave="0" documentId="13_ncr:1_{A567AF31-9357-41AF-A407-EDDA7BB4B238}" xr6:coauthVersionLast="47" xr6:coauthVersionMax="47" xr10:uidLastSave="{00000000-0000-0000-0000-000000000000}"/>
  <bookViews>
    <workbookView xWindow="-110" yWindow="-110" windowWidth="19420" windowHeight="10300" activeTab="1" xr2:uid="{594B7F7C-7E58-43AE-9085-73A43C6B3245}"/>
  </bookViews>
  <sheets>
    <sheet name="Sheet1" sheetId="1" r:id="rId1"/>
    <sheet name="Texas Acres" sheetId="3" r:id="rId2"/>
    <sheet name="National Acres" sheetId="7" r:id="rId3"/>
    <sheet name="Net Cash Income" sheetId="6" r:id="rId4"/>
    <sheet name="Income" sheetId="2" r:id="rId5"/>
    <sheet name="Sales" sheetId="4" r:id="rId6"/>
    <sheet name="Expens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6" l="1"/>
  <c r="I10" i="6"/>
  <c r="J9" i="6"/>
  <c r="I9" i="6"/>
  <c r="C69" i="3"/>
  <c r="C68" i="3"/>
  <c r="B69" i="3"/>
  <c r="B68" i="3"/>
  <c r="H10" i="6"/>
  <c r="H9" i="6"/>
  <c r="C67" i="3"/>
  <c r="B67" i="3"/>
  <c r="E2" i="3"/>
  <c r="E3" i="3"/>
  <c r="E4" i="3"/>
  <c r="E5" i="3"/>
  <c r="E1" i="3"/>
  <c r="D3" i="6"/>
  <c r="D4" i="6"/>
  <c r="D5" i="6"/>
  <c r="D6" i="6"/>
  <c r="D2" i="6"/>
  <c r="G10" i="6"/>
  <c r="C66" i="3"/>
  <c r="B66" i="3"/>
  <c r="G9" i="6"/>
  <c r="B65" i="3"/>
  <c r="C65" i="3" s="1"/>
  <c r="D3" i="3"/>
  <c r="E4" i="6"/>
  <c r="E34" i="3"/>
  <c r="B64" i="3"/>
  <c r="C64" i="3" s="1"/>
  <c r="D4" i="3"/>
  <c r="E35" i="3"/>
  <c r="E5" i="6"/>
  <c r="E36" i="3"/>
  <c r="C33" i="6"/>
  <c r="D19" i="6"/>
  <c r="D21" i="6" s="1"/>
  <c r="C36" i="6" l="1"/>
  <c r="C35" i="6"/>
  <c r="E10" i="6"/>
  <c r="E9" i="6"/>
  <c r="D10" i="6"/>
  <c r="D9" i="6"/>
  <c r="E15" i="6"/>
  <c r="E16" i="6"/>
  <c r="E17" i="6"/>
  <c r="E18" i="6"/>
  <c r="E14" i="6"/>
  <c r="E19" i="6" s="1"/>
  <c r="C19" i="6"/>
  <c r="C21" i="6" s="1"/>
  <c r="E10" i="7" l="1"/>
  <c r="E5" i="7"/>
  <c r="B12" i="7" s="1"/>
  <c r="C140" i="5" l="1"/>
  <c r="C135" i="5"/>
  <c r="C136" i="5"/>
  <c r="C137" i="5"/>
  <c r="C138" i="5"/>
  <c r="C134" i="5"/>
  <c r="C92" i="5"/>
  <c r="D10" i="5"/>
  <c r="D15" i="5"/>
  <c r="D20" i="5"/>
  <c r="D25" i="5"/>
  <c r="D30" i="5"/>
  <c r="D35" i="5"/>
  <c r="D40" i="5"/>
  <c r="D45" i="5"/>
  <c r="D50" i="5"/>
  <c r="D55" i="5"/>
  <c r="D60" i="5"/>
  <c r="D65" i="5"/>
  <c r="D70" i="5"/>
  <c r="D75" i="5"/>
  <c r="D80" i="5"/>
  <c r="D85" i="5"/>
  <c r="D90" i="5"/>
  <c r="D5" i="5"/>
  <c r="E6" i="6"/>
  <c r="C232" i="5"/>
  <c r="C6" i="4"/>
  <c r="C8" i="4" s="1"/>
  <c r="C6" i="2"/>
  <c r="C8" i="2" s="1"/>
  <c r="E61" i="3"/>
  <c r="E56" i="3"/>
  <c r="E51" i="3"/>
  <c r="E46" i="3"/>
  <c r="E41" i="3"/>
  <c r="E30" i="3"/>
  <c r="E25" i="3"/>
  <c r="E20" i="3"/>
  <c r="E15" i="3"/>
  <c r="E10" i="3"/>
  <c r="D5" i="3"/>
  <c r="H1" i="1"/>
  <c r="C10" i="6" l="1"/>
  <c r="C9" i="6"/>
  <c r="C22" i="6"/>
  <c r="E22" i="6"/>
  <c r="C234" i="5"/>
  <c r="E21" i="6"/>
  <c r="C9" i="2"/>
  <c r="B63" i="3"/>
  <c r="C63" i="3" s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Stan Kannegieter</author>
  </authors>
  <commentList>
    <comment ref="C36" authorId="0" shapeId="0" xr:uid="{0A717A3C-B40A-47CD-8B61-D943AB06C960}">
      <text>
        <r>
          <rPr>
            <b/>
            <sz val="9"/>
            <color indexed="81"/>
            <rFont val="Tahoma"/>
            <family val="2"/>
          </rPr>
          <t>Stan Kannegieter:</t>
        </r>
        <r>
          <rPr>
            <sz val="9"/>
            <color indexed="81"/>
            <rFont val="Tahoma"/>
            <family val="2"/>
          </rPr>
          <t xml:space="preserve">
This number comes from Texas Expenses Excel sheet, line: EXPENSE TOTALS, OPERATING - OPERATIONS WITH EXPENSE
</t>
        </r>
      </text>
    </comment>
  </commentList>
</comments>
</file>

<file path=xl/sharedStrings.xml><?xml version="1.0" encoding="utf-8"?>
<sst xmlns="http://schemas.openxmlformats.org/spreadsheetml/2006/main" count="589" uniqueCount="85">
  <si>
    <t>Cropland</t>
  </si>
  <si>
    <t>Acres</t>
  </si>
  <si>
    <t>Number of Operations</t>
  </si>
  <si>
    <t>Cropland (excl Harvested &amp; Pastured)</t>
  </si>
  <si>
    <t>All crops failed</t>
  </si>
  <si>
    <t>Cultivated Summer Fallow</t>
  </si>
  <si>
    <t>Idle</t>
  </si>
  <si>
    <t>Harvested</t>
  </si>
  <si>
    <t>Pastured</t>
  </si>
  <si>
    <t>Acre per farm</t>
  </si>
  <si>
    <t>Total Sales</t>
  </si>
  <si>
    <t>Sales per acre</t>
  </si>
  <si>
    <t>NAICS CLASSIFICATION: (1111)</t>
  </si>
  <si>
    <t>NAICS CLASSIFICATION: (1112)</t>
  </si>
  <si>
    <t>NAICS CLASSIFICATION: (1113)</t>
  </si>
  <si>
    <t>NAICS CLASSIFICATION: (1114)</t>
  </si>
  <si>
    <t>NAICS CLASSIFICATION: (1119)</t>
  </si>
  <si>
    <t>INCOME, FARM-RELATED - RECEIPTS, MEASURED IN $</t>
  </si>
  <si>
    <t>INCOME, FARM-RELATED, AG SERVICES, CUSTOMWORK &amp; OTHER - RECEIPTS, MEASURED IN $</t>
  </si>
  <si>
    <t>INCOME, FARM-RELATED, AG TOURISM &amp; RECREATIONAL SERVICES - RECEIPTS, MEASURED IN $</t>
  </si>
  <si>
    <t>INCOME, FARM-RELATED, CROP &amp; ANIMAL INSURANCE PAYMENTS - RECEIPTS, MEASURED IN $</t>
  </si>
  <si>
    <t>INCOME, FARM-RELATED, FOREST PRODUCTS, (EXCL CHRISTMAS TREES &amp; SHORT TERM WOODY CROPS &amp; MAPLE SYRUP) - RECEIPTS, MEASURED IN $</t>
  </si>
  <si>
    <t>INCOME, FARM-RELATED, GOVT PROGRAMS, STATE &amp; LOCAL - RECEIPTS, MEASURED IN $</t>
  </si>
  <si>
    <t>INCOME, FARM-RELATED, OTHER - RECEIPTS, MEASURED IN $</t>
  </si>
  <si>
    <t>INCOME, FARM-RELATED, PATRONAGE DIVIDENDS &amp; REFUNDS FROM COOPERATIVES - RECEIPTS, MEASURED IN $</t>
  </si>
  <si>
    <t>INCOME, FARM-RELATED, RENT, LAND &amp; BUILDINGS - RECEIPTS, MEASURED IN $</t>
  </si>
  <si>
    <t>AG LAND, CROPLAND - NUMBER OF OPERATIONS</t>
  </si>
  <si>
    <t>AG LAND, CROPLAND, (EXCL HARVESTED &amp; PASTURED), ALL CROPS FAILED - ACRES</t>
  </si>
  <si>
    <t>AG LAND, CROPLAND, (EXCL HARVESTED &amp; PASTURED), ALL CROPS FAILED - NUMBER OF OPERATIONS</t>
  </si>
  <si>
    <t>AG LAND, CROPLAND, (EXCL HARVESTED &amp; PASTURED), CULTIVATED SUMMER FALLOW - ACRES</t>
  </si>
  <si>
    <t>AG LAND, CROPLAND, (EXCL HARVESTED &amp; PASTURED), CULTIVATED SUMMER FALLOW - NUMBER OF OPERATIONS</t>
  </si>
  <si>
    <t>AG LAND, CROPLAND, (EXCL HARVESTED &amp; PASTURED), IDLE - ACRES</t>
  </si>
  <si>
    <t>AG LAND, CROPLAND, (EXCL HARVESTED &amp; PASTURED), IDLE - NUMBER OF OPERATIONS</t>
  </si>
  <si>
    <t>AG LAND, CROPLAND, HARVESTED - NUMBER OF OPERATIONS</t>
  </si>
  <si>
    <t>AG LAND, CROPLAND - ACRES</t>
  </si>
  <si>
    <t>AG LAND, CROPLAND, HARVESTED - ACRES</t>
  </si>
  <si>
    <t>AG LAND, CROPLAND, PASTURED ONLY - ACRES</t>
  </si>
  <si>
    <t>AG LAND, CROPLAND, PASTURED ONLY - NUMBER OF OPERATIONS</t>
  </si>
  <si>
    <t>Total</t>
  </si>
  <si>
    <t>Income per acre</t>
  </si>
  <si>
    <t>Income per farm</t>
  </si>
  <si>
    <t>CROP TOTALS - SALES, MEASURED IN $</t>
  </si>
  <si>
    <t>AG SERVICES, CUSTOM SERVICES FOR LIVESTOCK, INCL MEDICAL SUPPLIES &amp; VETERINARY - EXPENSE, MEASURED IN $</t>
  </si>
  <si>
    <t>AG SERVICES, CUSTOMWORK - EXPENSE, MEASURED IN $</t>
  </si>
  <si>
    <t>AG SERVICES, MACHINERY RENTAL - EXPENSE, MEASURED IN $</t>
  </si>
  <si>
    <t>AG SERVICES, OTHER - EXPENSE, MEASURED IN $</t>
  </si>
  <si>
    <t>AG SERVICES, UTILITIES - EXPENSE, MEASURED IN $</t>
  </si>
  <si>
    <t>ANIMAL TOTALS, (EXCL BREEDING) - EXPENSE, MEASURED IN $</t>
  </si>
  <si>
    <t>ANIMAL TOTALS, BREEDING - EXPENSE, MEASURED IN $</t>
  </si>
  <si>
    <t>CHEMICAL TOTALS - EXPENSE, MEASURED IN $</t>
  </si>
  <si>
    <t>DEPRECIATION - EXPENSE, MEASURED IN $</t>
  </si>
  <si>
    <t>EXPENSE TOTALS, OPERATING - EXPENSE, MEASURED IN $</t>
  </si>
  <si>
    <t>Expenses per acre</t>
  </si>
  <si>
    <t>INCOME, NET CASH FARM, OF OPERATIONS - NET INCOME, MEASURED IN $</t>
  </si>
  <si>
    <t>FEED - EXPENSE, MEASURED IN $</t>
  </si>
  <si>
    <t>FERTILIZER TOTALS, INCL LIME &amp; SOIL CONDITIONERS - EXPENSE, MEASURED IN $</t>
  </si>
  <si>
    <t>FUELS, INCL LUBRICANTS - EXPENSE, MEASURED IN $</t>
  </si>
  <si>
    <t>INTEREST - EXPENSE, MEASURED IN $</t>
  </si>
  <si>
    <t>LABOR, CONTRACT - EXPENSE, MEASURED IN $</t>
  </si>
  <si>
    <t>LABOR, HIRED - EXPENSE, MEASURED IN $</t>
  </si>
  <si>
    <t>RENT, CASH, LAND &amp; BUILDINGS - EXPENSE, MEASURED IN $</t>
  </si>
  <si>
    <t>SEEDS, FOR COVER CROPS - EXPENSE, MEASURED IN $</t>
  </si>
  <si>
    <t>SEEDS &amp; PLANTS TOTALS - EXPENSE, MEASURED IN $</t>
  </si>
  <si>
    <t>SUPPLIES &amp; REPAIRS, (EXCL LUBRICANTS) - EXPENSE, MEASURED IN $</t>
  </si>
  <si>
    <t>TAXES, PROPERTY, REAL ESTATE &amp; NON-REAL ESTATE, (EXCL PAID BY LANDLORD) - EXPENSE, MEASURED IN $</t>
  </si>
  <si>
    <t>EXPENSE TOTALS, OPERATING, PAID BY LANDLORD - EXPENSE, MEASURED IN $</t>
  </si>
  <si>
    <t>SEEDS, FOR COVER CROPS - OPERATIONS WITH EXPENSE</t>
  </si>
  <si>
    <t>Cover Crops</t>
  </si>
  <si>
    <t>Calculation</t>
  </si>
  <si>
    <t>SEEDS, FOR COVER CROPS - EXPENSE, MEASURED IN $ / OPERATIONS WITH EXPENSE</t>
  </si>
  <si>
    <t>Cost Cover Crops per farm per year</t>
  </si>
  <si>
    <t>NAICS CLASSIFICATION</t>
  </si>
  <si>
    <t>Conventional crop farming excluding fertilizer expenses</t>
  </si>
  <si>
    <t>Net income</t>
  </si>
  <si>
    <t>Expenses fertilizer</t>
  </si>
  <si>
    <t>USA</t>
  </si>
  <si>
    <t>Texas</t>
  </si>
  <si>
    <t>Acre per farm (excl: 1119)</t>
  </si>
  <si>
    <t>Acre per farm (excl: 1114 and 1119)</t>
  </si>
  <si>
    <t>Acre per farm 1119</t>
  </si>
  <si>
    <t>per acre</t>
  </si>
  <si>
    <t>Acre per farm 1111 and 1112</t>
  </si>
  <si>
    <t>1111+1112</t>
  </si>
  <si>
    <t>Acre per farm 1111</t>
  </si>
  <si>
    <t>Acre per farm 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</si>
</sst>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0" fillId="5" borderId="0" xfId="0" applyNumberFormat="1" applyFill="1"/>
    <xf numFmtId="3" fontId="0" fillId="6" borderId="0" xfId="0" applyNumberFormat="1" applyFill="1"/>
    <xf numFmtId="3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0" fontId="0" fillId="2" borderId="0" xfId="0" applyFill="1"/>
    <xf numFmtId="3" fontId="0" fillId="0" borderId="0" xfId="0" applyNumberFormat="1"/>
    <xf numFmtId="1" fontId="0" fillId="4" borderId="0" xfId="0" applyNumberFormat="1" applyFill="1"/>
    <xf numFmtId="0" fontId="0" fillId="10" borderId="0" xfId="0" applyFill="1"/>
    <xf numFmtId="164" fontId="0" fillId="0" borderId="0" xfId="0" applyNumberFormat="1"/>
    <xf numFmtId="164" fontId="0" fillId="4" borderId="0" xfId="0" applyNumberFormat="1" applyFill="1"/>
    <xf numFmtId="0" fontId="0" fillId="3" borderId="0" xfId="0" applyFill="1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A88A-7223-470D-9A0A-28E36954D818}">
  <dimension ref="A1:H20"/>
  <sheetViews>
    <sheetView workbookViewId="0">
      <selection activeCell="C20" sqref="C20"/>
    </sheetView>
  </sheetViews>
  <sheetFormatPr defaultRowHeight="14.5" x14ac:dyDescent="0.35"/>
  <cols>
    <col min="1" max="1" width="34.81640625" bestFit="1" customWidth="1"/>
    <col min="2" max="2" width="21.1796875" bestFit="1" customWidth="1"/>
    <col min="3" max="3" width="12.7265625" bestFit="1" customWidth="1"/>
    <col min="7" max="7" width="13.1796875" bestFit="1" customWidth="1"/>
  </cols>
  <sheetData>
    <row r="1" spans="1:8" x14ac:dyDescent="0.35">
      <c r="A1" t="s">
        <v>0</v>
      </c>
      <c r="B1" t="s">
        <v>1</v>
      </c>
      <c r="C1" s="2">
        <v>27903626</v>
      </c>
      <c r="G1" t="s">
        <v>9</v>
      </c>
      <c r="H1">
        <f>C1/C2</f>
        <v>238.52107089737234</v>
      </c>
    </row>
    <row r="2" spans="1:8" x14ac:dyDescent="0.35">
      <c r="B2" t="s">
        <v>2</v>
      </c>
      <c r="C2" s="2">
        <v>116986</v>
      </c>
      <c r="G2" t="s">
        <v>11</v>
      </c>
      <c r="H2">
        <f>C20/C1</f>
        <v>259.70269957029956</v>
      </c>
    </row>
    <row r="3" spans="1:8" x14ac:dyDescent="0.35">
      <c r="A3" t="s">
        <v>3</v>
      </c>
      <c r="B3" t="s">
        <v>1</v>
      </c>
      <c r="C3" s="3">
        <v>12701877</v>
      </c>
    </row>
    <row r="4" spans="1:8" x14ac:dyDescent="0.35">
      <c r="B4" t="s">
        <v>2</v>
      </c>
      <c r="C4" s="3">
        <v>46675</v>
      </c>
    </row>
    <row r="5" spans="1:8" x14ac:dyDescent="0.35">
      <c r="A5" t="s">
        <v>4</v>
      </c>
      <c r="B5" t="s">
        <v>1</v>
      </c>
      <c r="C5" s="4">
        <v>7351748</v>
      </c>
    </row>
    <row r="6" spans="1:8" x14ac:dyDescent="0.35">
      <c r="B6" t="s">
        <v>2</v>
      </c>
      <c r="C6" s="4">
        <v>18551</v>
      </c>
    </row>
    <row r="7" spans="1:8" x14ac:dyDescent="0.35">
      <c r="A7" t="s">
        <v>5</v>
      </c>
      <c r="B7" t="s">
        <v>1</v>
      </c>
      <c r="C7" s="5">
        <v>1451257</v>
      </c>
    </row>
    <row r="8" spans="1:8" x14ac:dyDescent="0.35">
      <c r="B8" t="s">
        <v>2</v>
      </c>
      <c r="C8" s="5">
        <v>11492</v>
      </c>
    </row>
    <row r="9" spans="1:8" x14ac:dyDescent="0.35">
      <c r="A9" t="s">
        <v>6</v>
      </c>
      <c r="B9" t="s">
        <v>1</v>
      </c>
      <c r="C9" s="6">
        <v>3898872</v>
      </c>
    </row>
    <row r="10" spans="1:8" x14ac:dyDescent="0.35">
      <c r="B10" t="s">
        <v>2</v>
      </c>
      <c r="C10" s="6">
        <v>23723</v>
      </c>
    </row>
    <row r="11" spans="1:8" x14ac:dyDescent="0.35">
      <c r="A11" t="s">
        <v>7</v>
      </c>
      <c r="B11" t="s">
        <v>1</v>
      </c>
      <c r="C11" s="7">
        <v>12467602</v>
      </c>
    </row>
    <row r="12" spans="1:8" x14ac:dyDescent="0.35">
      <c r="B12" t="s">
        <v>2</v>
      </c>
      <c r="C12" s="7">
        <v>81443</v>
      </c>
    </row>
    <row r="13" spans="1:8" x14ac:dyDescent="0.35">
      <c r="A13" t="s">
        <v>8</v>
      </c>
      <c r="B13" t="s">
        <v>1</v>
      </c>
      <c r="C13" s="8">
        <v>2734147</v>
      </c>
    </row>
    <row r="14" spans="1:8" x14ac:dyDescent="0.35">
      <c r="B14" t="s">
        <v>2</v>
      </c>
      <c r="C14" s="8">
        <v>16101</v>
      </c>
    </row>
    <row r="20" spans="1:3" x14ac:dyDescent="0.35">
      <c r="A20" t="s">
        <v>0</v>
      </c>
      <c r="B20" t="s">
        <v>10</v>
      </c>
      <c r="C20" s="1">
        <v>7246647000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38F9-61F4-4964-BCC7-479B70037F0C}">
  <dimension ref="A1:E69"/>
  <sheetViews>
    <sheetView tabSelected="1" topLeftCell="A24" zoomScale="99" workbookViewId="0">
      <selection activeCell="B33" sqref="B33"/>
    </sheetView>
  </sheetViews>
  <sheetFormatPr defaultRowHeight="14.5" x14ac:dyDescent="0.35"/>
  <cols>
    <col min="1" max="1" width="103.1796875" bestFit="1" customWidth="1"/>
    <col min="2" max="2" width="44.26953125" bestFit="1" customWidth="1"/>
    <col min="3" max="3" width="10.1796875" bestFit="1" customWidth="1"/>
    <col min="4" max="4" width="9.81640625" bestFit="1" customWidth="1"/>
    <col min="5" max="5" width="10.1796875" bestFit="1" customWidth="1"/>
    <col min="6" max="6" width="9.81640625" bestFit="1" customWidth="1"/>
  </cols>
  <sheetData>
    <row r="1" spans="1:5" x14ac:dyDescent="0.35">
      <c r="A1" t="s">
        <v>34</v>
      </c>
      <c r="B1" s="9" t="s">
        <v>12</v>
      </c>
      <c r="C1" s="10">
        <v>6571967</v>
      </c>
      <c r="E1" s="17">
        <f>C1/C32</f>
        <v>1284.8420332355815</v>
      </c>
    </row>
    <row r="2" spans="1:5" x14ac:dyDescent="0.35">
      <c r="A2" t="s">
        <v>34</v>
      </c>
      <c r="B2" s="9" t="s">
        <v>13</v>
      </c>
      <c r="C2" s="10">
        <v>492463</v>
      </c>
      <c r="E2" s="17">
        <f t="shared" ref="E2:E5" si="0">C2/C33</f>
        <v>327.65335994677309</v>
      </c>
    </row>
    <row r="3" spans="1:5" x14ac:dyDescent="0.35">
      <c r="A3" t="s">
        <v>34</v>
      </c>
      <c r="B3" s="9" t="s">
        <v>14</v>
      </c>
      <c r="C3" s="10">
        <v>265150</v>
      </c>
      <c r="D3" s="10">
        <f>SUM(C1:C3)</f>
        <v>7329580</v>
      </c>
      <c r="E3" s="17">
        <f t="shared" si="0"/>
        <v>45.762858129099065</v>
      </c>
    </row>
    <row r="4" spans="1:5" x14ac:dyDescent="0.35">
      <c r="A4" t="s">
        <v>34</v>
      </c>
      <c r="B4" s="9" t="s">
        <v>15</v>
      </c>
      <c r="C4" s="10">
        <v>130914</v>
      </c>
      <c r="D4" s="10">
        <f>SUM(C1:C4)</f>
        <v>7460494</v>
      </c>
      <c r="E4" s="17">
        <f t="shared" si="0"/>
        <v>79.4381067961165</v>
      </c>
    </row>
    <row r="5" spans="1:5" x14ac:dyDescent="0.35">
      <c r="A5" t="s">
        <v>34</v>
      </c>
      <c r="B5" s="9" t="s">
        <v>16</v>
      </c>
      <c r="C5" s="10">
        <v>12134458</v>
      </c>
      <c r="D5" s="3">
        <f>SUM(C1:C5)</f>
        <v>19594952</v>
      </c>
      <c r="E5" s="17">
        <f t="shared" si="0"/>
        <v>269.92454676899121</v>
      </c>
    </row>
    <row r="6" spans="1:5" x14ac:dyDescent="0.35">
      <c r="A6" t="s">
        <v>27</v>
      </c>
      <c r="B6" s="9" t="s">
        <v>12</v>
      </c>
      <c r="C6" s="10">
        <v>1257216</v>
      </c>
    </row>
    <row r="7" spans="1:5" x14ac:dyDescent="0.35">
      <c r="A7" t="s">
        <v>27</v>
      </c>
      <c r="B7" s="9" t="s">
        <v>13</v>
      </c>
      <c r="C7" s="10">
        <v>159444</v>
      </c>
    </row>
    <row r="8" spans="1:5" x14ac:dyDescent="0.35">
      <c r="A8" t="s">
        <v>27</v>
      </c>
      <c r="B8" s="9" t="s">
        <v>14</v>
      </c>
      <c r="C8" s="10">
        <v>51530</v>
      </c>
    </row>
    <row r="9" spans="1:5" x14ac:dyDescent="0.35">
      <c r="A9" t="s">
        <v>27</v>
      </c>
      <c r="B9" s="9" t="s">
        <v>15</v>
      </c>
      <c r="C9" s="10">
        <v>6522</v>
      </c>
    </row>
    <row r="10" spans="1:5" x14ac:dyDescent="0.35">
      <c r="A10" t="s">
        <v>27</v>
      </c>
      <c r="B10" s="9" t="s">
        <v>16</v>
      </c>
      <c r="C10" s="10">
        <v>4050148</v>
      </c>
      <c r="E10" s="10">
        <f>SUM(C6:C10)</f>
        <v>5524860</v>
      </c>
    </row>
    <row r="11" spans="1:5" x14ac:dyDescent="0.35">
      <c r="A11" t="s">
        <v>29</v>
      </c>
      <c r="B11" s="9" t="s">
        <v>12</v>
      </c>
      <c r="C11" s="10">
        <v>324718</v>
      </c>
    </row>
    <row r="12" spans="1:5" x14ac:dyDescent="0.35">
      <c r="A12" t="s">
        <v>29</v>
      </c>
      <c r="B12" s="9" t="s">
        <v>13</v>
      </c>
      <c r="C12" s="10">
        <v>12475</v>
      </c>
    </row>
    <row r="13" spans="1:5" x14ac:dyDescent="0.35">
      <c r="A13" t="s">
        <v>29</v>
      </c>
      <c r="B13" s="9" t="s">
        <v>14</v>
      </c>
      <c r="C13" s="10">
        <v>14843</v>
      </c>
    </row>
    <row r="14" spans="1:5" x14ac:dyDescent="0.35">
      <c r="A14" t="s">
        <v>29</v>
      </c>
      <c r="B14" s="9" t="s">
        <v>15</v>
      </c>
      <c r="C14" s="10">
        <v>8281</v>
      </c>
    </row>
    <row r="15" spans="1:5" x14ac:dyDescent="0.35">
      <c r="A15" t="s">
        <v>29</v>
      </c>
      <c r="B15" s="9" t="s">
        <v>16</v>
      </c>
      <c r="C15" s="10">
        <v>506691</v>
      </c>
      <c r="E15" s="10">
        <f>SUM(C11:C15)</f>
        <v>867008</v>
      </c>
    </row>
    <row r="16" spans="1:5" x14ac:dyDescent="0.35">
      <c r="A16" t="s">
        <v>31</v>
      </c>
      <c r="B16" s="9" t="s">
        <v>12</v>
      </c>
      <c r="C16" s="10">
        <v>438966</v>
      </c>
    </row>
    <row r="17" spans="1:5" x14ac:dyDescent="0.35">
      <c r="A17" t="s">
        <v>31</v>
      </c>
      <c r="B17" s="9" t="s">
        <v>13</v>
      </c>
      <c r="C17" s="10">
        <v>84049</v>
      </c>
    </row>
    <row r="18" spans="1:5" x14ac:dyDescent="0.35">
      <c r="A18" t="s">
        <v>31</v>
      </c>
      <c r="B18" s="9" t="s">
        <v>14</v>
      </c>
      <c r="C18" s="10">
        <v>31510</v>
      </c>
    </row>
    <row r="19" spans="1:5" x14ac:dyDescent="0.35">
      <c r="A19" t="s">
        <v>31</v>
      </c>
      <c r="B19" s="9" t="s">
        <v>15</v>
      </c>
      <c r="C19" s="10">
        <v>15350</v>
      </c>
    </row>
    <row r="20" spans="1:5" x14ac:dyDescent="0.35">
      <c r="A20" t="s">
        <v>31</v>
      </c>
      <c r="B20" s="9" t="s">
        <v>16</v>
      </c>
      <c r="C20" s="10">
        <v>2399629</v>
      </c>
      <c r="E20" s="10">
        <f>SUM(C16:C20)</f>
        <v>2969504</v>
      </c>
    </row>
    <row r="21" spans="1:5" x14ac:dyDescent="0.35">
      <c r="A21" t="s">
        <v>35</v>
      </c>
      <c r="B21" s="9" t="s">
        <v>12</v>
      </c>
      <c r="C21" s="10">
        <v>4303703</v>
      </c>
    </row>
    <row r="22" spans="1:5" x14ac:dyDescent="0.35">
      <c r="A22" t="s">
        <v>35</v>
      </c>
      <c r="B22" s="9" t="s">
        <v>13</v>
      </c>
      <c r="C22" s="10">
        <v>211000</v>
      </c>
    </row>
    <row r="23" spans="1:5" x14ac:dyDescent="0.35">
      <c r="A23" t="s">
        <v>35</v>
      </c>
      <c r="B23" s="9" t="s">
        <v>14</v>
      </c>
      <c r="C23" s="10">
        <v>156652</v>
      </c>
    </row>
    <row r="24" spans="1:5" x14ac:dyDescent="0.35">
      <c r="A24" t="s">
        <v>35</v>
      </c>
      <c r="B24" s="9" t="s">
        <v>15</v>
      </c>
      <c r="C24" s="10">
        <v>97247</v>
      </c>
    </row>
    <row r="25" spans="1:5" x14ac:dyDescent="0.35">
      <c r="A25" t="s">
        <v>35</v>
      </c>
      <c r="B25" s="9" t="s">
        <v>16</v>
      </c>
      <c r="C25" s="10">
        <v>4695075</v>
      </c>
      <c r="E25" s="10">
        <f>SUM(C21:C25)</f>
        <v>9463677</v>
      </c>
    </row>
    <row r="26" spans="1:5" x14ac:dyDescent="0.35">
      <c r="A26" t="s">
        <v>36</v>
      </c>
      <c r="B26" s="9" t="s">
        <v>12</v>
      </c>
      <c r="C26" s="10">
        <v>247364</v>
      </c>
    </row>
    <row r="27" spans="1:5" x14ac:dyDescent="0.35">
      <c r="A27" t="s">
        <v>36</v>
      </c>
      <c r="B27" s="9" t="s">
        <v>13</v>
      </c>
      <c r="C27" s="10">
        <v>25495</v>
      </c>
    </row>
    <row r="28" spans="1:5" x14ac:dyDescent="0.35">
      <c r="A28" t="s">
        <v>36</v>
      </c>
      <c r="B28" s="9" t="s">
        <v>14</v>
      </c>
      <c r="C28" s="10">
        <v>10615</v>
      </c>
    </row>
    <row r="29" spans="1:5" x14ac:dyDescent="0.35">
      <c r="A29" t="s">
        <v>36</v>
      </c>
      <c r="B29" s="9" t="s">
        <v>15</v>
      </c>
      <c r="C29" s="10">
        <v>3514</v>
      </c>
    </row>
    <row r="30" spans="1:5" x14ac:dyDescent="0.35">
      <c r="A30" t="s">
        <v>36</v>
      </c>
      <c r="B30" s="9" t="s">
        <v>16</v>
      </c>
      <c r="C30" s="10">
        <v>482915</v>
      </c>
      <c r="E30" s="10">
        <f>SUM(C26:C30)</f>
        <v>769903</v>
      </c>
    </row>
    <row r="31" spans="1:5" s="12" customFormat="1" x14ac:dyDescent="0.35"/>
    <row r="32" spans="1:5" x14ac:dyDescent="0.35">
      <c r="A32" t="s">
        <v>26</v>
      </c>
      <c r="B32" s="9" t="s">
        <v>12</v>
      </c>
      <c r="C32" s="10">
        <v>5115</v>
      </c>
    </row>
    <row r="33" spans="1:5" x14ac:dyDescent="0.35">
      <c r="A33" t="s">
        <v>26</v>
      </c>
      <c r="B33" s="9" t="s">
        <v>13</v>
      </c>
      <c r="C33" s="10">
        <v>1503</v>
      </c>
    </row>
    <row r="34" spans="1:5" x14ac:dyDescent="0.35">
      <c r="A34" t="s">
        <v>26</v>
      </c>
      <c r="B34" s="9" t="s">
        <v>14</v>
      </c>
      <c r="C34" s="10">
        <v>5794</v>
      </c>
      <c r="E34" s="10">
        <f>SUM(C32:C34)</f>
        <v>12412</v>
      </c>
    </row>
    <row r="35" spans="1:5" x14ac:dyDescent="0.35">
      <c r="A35" t="s">
        <v>26</v>
      </c>
      <c r="B35" s="9" t="s">
        <v>15</v>
      </c>
      <c r="C35" s="10">
        <v>1648</v>
      </c>
      <c r="E35" s="10">
        <f>SUM(C32:C35)</f>
        <v>14060</v>
      </c>
    </row>
    <row r="36" spans="1:5" x14ac:dyDescent="0.35">
      <c r="A36" t="s">
        <v>26</v>
      </c>
      <c r="B36" s="9" t="s">
        <v>16</v>
      </c>
      <c r="C36" s="5">
        <v>44955</v>
      </c>
      <c r="E36" s="3">
        <f>SUM(C32:C36)</f>
        <v>59015</v>
      </c>
    </row>
    <row r="37" spans="1:5" x14ac:dyDescent="0.35">
      <c r="A37" t="s">
        <v>28</v>
      </c>
      <c r="B37" s="9" t="s">
        <v>12</v>
      </c>
      <c r="C37" s="10">
        <v>1278</v>
      </c>
    </row>
    <row r="38" spans="1:5" x14ac:dyDescent="0.35">
      <c r="A38" t="s">
        <v>28</v>
      </c>
      <c r="B38" s="9" t="s">
        <v>13</v>
      </c>
      <c r="C38">
        <v>248</v>
      </c>
    </row>
    <row r="39" spans="1:5" x14ac:dyDescent="0.35">
      <c r="A39" t="s">
        <v>28</v>
      </c>
      <c r="B39" s="9" t="s">
        <v>14</v>
      </c>
      <c r="C39">
        <v>609</v>
      </c>
    </row>
    <row r="40" spans="1:5" x14ac:dyDescent="0.35">
      <c r="A40" t="s">
        <v>28</v>
      </c>
      <c r="B40" s="9" t="s">
        <v>15</v>
      </c>
      <c r="C40">
        <v>115</v>
      </c>
    </row>
    <row r="41" spans="1:5" x14ac:dyDescent="0.35">
      <c r="A41" t="s">
        <v>28</v>
      </c>
      <c r="B41" s="9" t="s">
        <v>16</v>
      </c>
      <c r="C41" s="10">
        <v>8062</v>
      </c>
      <c r="E41" s="10">
        <f>SUM(C37:C41)</f>
        <v>10312</v>
      </c>
    </row>
    <row r="42" spans="1:5" x14ac:dyDescent="0.35">
      <c r="A42" t="s">
        <v>30</v>
      </c>
      <c r="B42" s="9" t="s">
        <v>12</v>
      </c>
      <c r="C42">
        <v>775</v>
      </c>
    </row>
    <row r="43" spans="1:5" x14ac:dyDescent="0.35">
      <c r="A43" t="s">
        <v>30</v>
      </c>
      <c r="B43" s="9" t="s">
        <v>13</v>
      </c>
      <c r="C43">
        <v>189</v>
      </c>
    </row>
    <row r="44" spans="1:5" x14ac:dyDescent="0.35">
      <c r="A44" t="s">
        <v>30</v>
      </c>
      <c r="B44" s="9" t="s">
        <v>14</v>
      </c>
      <c r="C44">
        <v>336</v>
      </c>
    </row>
    <row r="45" spans="1:5" x14ac:dyDescent="0.35">
      <c r="A45" t="s">
        <v>30</v>
      </c>
      <c r="B45" s="9" t="s">
        <v>15</v>
      </c>
      <c r="C45">
        <v>92</v>
      </c>
    </row>
    <row r="46" spans="1:5" x14ac:dyDescent="0.35">
      <c r="A46" t="s">
        <v>30</v>
      </c>
      <c r="B46" s="9" t="s">
        <v>16</v>
      </c>
      <c r="C46" s="10">
        <v>3903</v>
      </c>
      <c r="E46" s="10">
        <f>SUM(C42:C46)</f>
        <v>5295</v>
      </c>
    </row>
    <row r="47" spans="1:5" x14ac:dyDescent="0.35">
      <c r="A47" t="s">
        <v>32</v>
      </c>
      <c r="B47" s="9" t="s">
        <v>12</v>
      </c>
      <c r="C47">
        <v>925</v>
      </c>
    </row>
    <row r="48" spans="1:5" x14ac:dyDescent="0.35">
      <c r="A48" t="s">
        <v>32</v>
      </c>
      <c r="B48" s="9" t="s">
        <v>13</v>
      </c>
      <c r="C48">
        <v>265</v>
      </c>
    </row>
    <row r="49" spans="1:5" x14ac:dyDescent="0.35">
      <c r="A49" t="s">
        <v>32</v>
      </c>
      <c r="B49" s="9" t="s">
        <v>14</v>
      </c>
      <c r="C49">
        <v>764</v>
      </c>
    </row>
    <row r="50" spans="1:5" x14ac:dyDescent="0.35">
      <c r="A50" t="s">
        <v>32</v>
      </c>
      <c r="B50" s="9" t="s">
        <v>15</v>
      </c>
      <c r="C50">
        <v>222</v>
      </c>
    </row>
    <row r="51" spans="1:5" x14ac:dyDescent="0.35">
      <c r="A51" t="s">
        <v>32</v>
      </c>
      <c r="B51" s="9" t="s">
        <v>16</v>
      </c>
      <c r="C51" s="10">
        <v>12177</v>
      </c>
      <c r="E51" s="10">
        <f>SUM(C47:C51)</f>
        <v>14353</v>
      </c>
    </row>
    <row r="52" spans="1:5" x14ac:dyDescent="0.35">
      <c r="A52" t="s">
        <v>33</v>
      </c>
      <c r="B52" s="9" t="s">
        <v>12</v>
      </c>
      <c r="C52" s="10">
        <v>5115</v>
      </c>
    </row>
    <row r="53" spans="1:5" x14ac:dyDescent="0.35">
      <c r="A53" t="s">
        <v>33</v>
      </c>
      <c r="B53" s="9" t="s">
        <v>13</v>
      </c>
      <c r="C53" s="10">
        <v>1503</v>
      </c>
    </row>
    <row r="54" spans="1:5" x14ac:dyDescent="0.35">
      <c r="A54" t="s">
        <v>33</v>
      </c>
      <c r="B54" s="9" t="s">
        <v>14</v>
      </c>
      <c r="C54" s="10">
        <v>5794</v>
      </c>
    </row>
    <row r="55" spans="1:5" x14ac:dyDescent="0.35">
      <c r="A55" t="s">
        <v>33</v>
      </c>
      <c r="B55" s="9" t="s">
        <v>15</v>
      </c>
      <c r="C55" s="10">
        <v>1648</v>
      </c>
    </row>
    <row r="56" spans="1:5" x14ac:dyDescent="0.35">
      <c r="A56" t="s">
        <v>33</v>
      </c>
      <c r="B56" s="9" t="s">
        <v>16</v>
      </c>
      <c r="C56" s="10">
        <v>28993</v>
      </c>
      <c r="E56" s="10">
        <f>SUM(C52:C56)</f>
        <v>43053</v>
      </c>
    </row>
    <row r="57" spans="1:5" x14ac:dyDescent="0.35">
      <c r="A57" t="s">
        <v>37</v>
      </c>
      <c r="B57" s="9" t="s">
        <v>12</v>
      </c>
      <c r="C57">
        <v>364</v>
      </c>
    </row>
    <row r="58" spans="1:5" x14ac:dyDescent="0.35">
      <c r="A58" t="s">
        <v>37</v>
      </c>
      <c r="B58" s="9" t="s">
        <v>13</v>
      </c>
      <c r="C58">
        <v>120</v>
      </c>
    </row>
    <row r="59" spans="1:5" x14ac:dyDescent="0.35">
      <c r="A59" t="s">
        <v>37</v>
      </c>
      <c r="B59" s="9" t="s">
        <v>14</v>
      </c>
      <c r="C59">
        <v>361</v>
      </c>
    </row>
    <row r="60" spans="1:5" x14ac:dyDescent="0.35">
      <c r="A60" t="s">
        <v>37</v>
      </c>
      <c r="B60" s="9" t="s">
        <v>15</v>
      </c>
      <c r="C60">
        <v>106</v>
      </c>
    </row>
    <row r="61" spans="1:5" x14ac:dyDescent="0.35">
      <c r="A61" t="s">
        <v>37</v>
      </c>
      <c r="B61" s="9" t="s">
        <v>16</v>
      </c>
      <c r="C61" s="10">
        <v>2288</v>
      </c>
      <c r="E61" s="10">
        <f>SUM(C57:C61)</f>
        <v>3239</v>
      </c>
    </row>
    <row r="63" spans="1:5" x14ac:dyDescent="0.35">
      <c r="A63" t="s">
        <v>9</v>
      </c>
      <c r="B63" s="11">
        <f>D5/E36</f>
        <v>332.03341523341521</v>
      </c>
      <c r="C63">
        <f t="shared" ref="C63:C69" si="1">B63/2.47105</f>
        <v>134.36936332061885</v>
      </c>
    </row>
    <row r="64" spans="1:5" x14ac:dyDescent="0.35">
      <c r="A64" t="s">
        <v>77</v>
      </c>
      <c r="B64">
        <f>D4/E35</f>
        <v>530.61834992887623</v>
      </c>
      <c r="C64">
        <f t="shared" si="1"/>
        <v>214.73395921931009</v>
      </c>
    </row>
    <row r="65" spans="1:3" x14ac:dyDescent="0.35">
      <c r="A65" t="s">
        <v>78</v>
      </c>
      <c r="B65">
        <f>D3/E34</f>
        <v>590.5236867547535</v>
      </c>
      <c r="C65">
        <f t="shared" si="1"/>
        <v>238.97682635104653</v>
      </c>
    </row>
    <row r="66" spans="1:3" x14ac:dyDescent="0.35">
      <c r="A66" t="s">
        <v>79</v>
      </c>
      <c r="B66">
        <f>C5/C36</f>
        <v>269.92454676899121</v>
      </c>
      <c r="C66">
        <f t="shared" si="1"/>
        <v>109.2347571959253</v>
      </c>
    </row>
    <row r="67" spans="1:3" x14ac:dyDescent="0.35">
      <c r="A67" t="s">
        <v>81</v>
      </c>
      <c r="B67">
        <f>(C1+C2)/(C32+C33)</f>
        <v>1067.4569356300997</v>
      </c>
      <c r="C67">
        <f t="shared" si="1"/>
        <v>431.98516243301418</v>
      </c>
    </row>
    <row r="68" spans="1:3" x14ac:dyDescent="0.35">
      <c r="A68" t="s">
        <v>83</v>
      </c>
      <c r="B68">
        <f>C1/C32</f>
        <v>1284.8420332355815</v>
      </c>
      <c r="C68">
        <f t="shared" si="1"/>
        <v>519.95792607821841</v>
      </c>
    </row>
    <row r="69" spans="1:3" x14ac:dyDescent="0.35">
      <c r="A69" t="s">
        <v>84</v>
      </c>
      <c r="B69">
        <f>C2/C33</f>
        <v>327.65335994677309</v>
      </c>
      <c r="C69">
        <f t="shared" si="1"/>
        <v>132.59681509753875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1C7E-2E79-42FF-9A56-F03977875727}">
  <dimension ref="A1:E12"/>
  <sheetViews>
    <sheetView workbookViewId="0">
      <selection activeCell="F6" sqref="F6"/>
    </sheetView>
  </sheetViews>
  <sheetFormatPr defaultRowHeight="14.5" x14ac:dyDescent="0.35"/>
  <cols>
    <col min="1" max="1" width="27.26953125" bestFit="1" customWidth="1"/>
    <col min="2" max="2" width="21.54296875" bestFit="1" customWidth="1"/>
    <col min="3" max="3" width="28.1796875" bestFit="1" customWidth="1"/>
    <col min="4" max="5" width="11.1796875" bestFit="1" customWidth="1"/>
  </cols>
  <sheetData>
    <row r="1" spans="1:5" x14ac:dyDescent="0.35">
      <c r="A1" t="s">
        <v>34</v>
      </c>
      <c r="B1" t="s">
        <v>71</v>
      </c>
      <c r="C1" s="9" t="s">
        <v>12</v>
      </c>
      <c r="D1" s="10">
        <v>235703790</v>
      </c>
    </row>
    <row r="2" spans="1:5" x14ac:dyDescent="0.35">
      <c r="A2" t="s">
        <v>34</v>
      </c>
      <c r="B2" t="s">
        <v>71</v>
      </c>
      <c r="C2" s="9" t="s">
        <v>13</v>
      </c>
      <c r="D2" s="10">
        <v>7275938</v>
      </c>
    </row>
    <row r="3" spans="1:5" x14ac:dyDescent="0.35">
      <c r="A3" t="s">
        <v>34</v>
      </c>
      <c r="B3" t="s">
        <v>71</v>
      </c>
      <c r="C3" s="9" t="s">
        <v>14</v>
      </c>
      <c r="D3" s="10">
        <v>7631889</v>
      </c>
    </row>
    <row r="4" spans="1:5" x14ac:dyDescent="0.35">
      <c r="A4" t="s">
        <v>34</v>
      </c>
      <c r="B4" t="s">
        <v>71</v>
      </c>
      <c r="C4" s="9" t="s">
        <v>15</v>
      </c>
      <c r="D4" s="10">
        <v>1788459</v>
      </c>
    </row>
    <row r="5" spans="1:5" x14ac:dyDescent="0.35">
      <c r="A5" t="s">
        <v>34</v>
      </c>
      <c r="B5" t="s">
        <v>71</v>
      </c>
      <c r="C5" s="9" t="s">
        <v>16</v>
      </c>
      <c r="D5" s="10">
        <v>61215533</v>
      </c>
      <c r="E5" s="10">
        <f>SUM(D1:D5)</f>
        <v>313615609</v>
      </c>
    </row>
    <row r="6" spans="1:5" x14ac:dyDescent="0.35">
      <c r="A6" t="s">
        <v>26</v>
      </c>
      <c r="B6" t="s">
        <v>71</v>
      </c>
      <c r="C6" s="9" t="s">
        <v>12</v>
      </c>
      <c r="D6" s="10">
        <v>330930</v>
      </c>
    </row>
    <row r="7" spans="1:5" x14ac:dyDescent="0.35">
      <c r="A7" t="s">
        <v>26</v>
      </c>
      <c r="B7" t="s">
        <v>71</v>
      </c>
      <c r="C7" s="9" t="s">
        <v>13</v>
      </c>
      <c r="D7" s="10">
        <v>41793</v>
      </c>
    </row>
    <row r="8" spans="1:5" x14ac:dyDescent="0.35">
      <c r="A8" t="s">
        <v>26</v>
      </c>
      <c r="B8" t="s">
        <v>71</v>
      </c>
      <c r="C8" s="9" t="s">
        <v>14</v>
      </c>
      <c r="D8" s="10">
        <v>97343</v>
      </c>
    </row>
    <row r="9" spans="1:5" x14ac:dyDescent="0.35">
      <c r="A9" t="s">
        <v>26</v>
      </c>
      <c r="B9" t="s">
        <v>71</v>
      </c>
      <c r="C9" s="9" t="s">
        <v>15</v>
      </c>
      <c r="D9" s="10">
        <v>50782</v>
      </c>
    </row>
    <row r="10" spans="1:5" x14ac:dyDescent="0.35">
      <c r="A10" t="s">
        <v>26</v>
      </c>
      <c r="B10" t="s">
        <v>71</v>
      </c>
      <c r="C10" s="9" t="s">
        <v>16</v>
      </c>
      <c r="D10" s="10">
        <v>418301</v>
      </c>
      <c r="E10" s="10">
        <f>SUM(D6:D10)</f>
        <v>939149</v>
      </c>
    </row>
    <row r="12" spans="1:5" x14ac:dyDescent="0.35">
      <c r="A12" t="s">
        <v>9</v>
      </c>
      <c r="B12" s="11">
        <f>E5/E10</f>
        <v>333.93594520145365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1DCE-E474-40F9-9585-397CE852B324}">
  <dimension ref="A1:J36"/>
  <sheetViews>
    <sheetView workbookViewId="0">
      <selection activeCell="H17" sqref="H17"/>
    </sheetView>
  </sheetViews>
  <sheetFormatPr defaultRowHeight="14.5" x14ac:dyDescent="0.35"/>
  <cols>
    <col min="1" max="1" width="68" bestFit="1" customWidth="1"/>
    <col min="2" max="2" width="28.1796875" bestFit="1" customWidth="1"/>
    <col min="3" max="3" width="19.7265625" bestFit="1" customWidth="1"/>
    <col min="4" max="4" width="17.7265625" bestFit="1" customWidth="1"/>
    <col min="5" max="5" width="12.7265625" bestFit="1" customWidth="1"/>
    <col min="7" max="7" width="9.81640625" bestFit="1" customWidth="1"/>
    <col min="8" max="10" width="10.81640625" bestFit="1" customWidth="1"/>
  </cols>
  <sheetData>
    <row r="1" spans="1:10" x14ac:dyDescent="0.35">
      <c r="A1" s="18" t="s">
        <v>76</v>
      </c>
      <c r="B1" s="18"/>
      <c r="C1" s="18"/>
      <c r="D1" t="s">
        <v>80</v>
      </c>
    </row>
    <row r="2" spans="1:10" x14ac:dyDescent="0.35">
      <c r="A2" t="s">
        <v>53</v>
      </c>
      <c r="B2" s="9" t="s">
        <v>12</v>
      </c>
      <c r="C2" s="10">
        <v>771430000</v>
      </c>
      <c r="D2" s="13">
        <f>C2/'Texas Acres'!C1</f>
        <v>117.38190407833758</v>
      </c>
    </row>
    <row r="3" spans="1:10" x14ac:dyDescent="0.35">
      <c r="A3" t="s">
        <v>53</v>
      </c>
      <c r="B3" s="9" t="s">
        <v>13</v>
      </c>
      <c r="C3" s="10">
        <v>184060000</v>
      </c>
      <c r="D3" s="13">
        <f>C3/'Texas Acres'!C2</f>
        <v>373.75396730312735</v>
      </c>
    </row>
    <row r="4" spans="1:10" x14ac:dyDescent="0.35">
      <c r="A4" t="s">
        <v>53</v>
      </c>
      <c r="B4" s="9" t="s">
        <v>14</v>
      </c>
      <c r="C4" s="10">
        <v>18064000</v>
      </c>
      <c r="D4" s="13">
        <f>C4/'Texas Acres'!C3</f>
        <v>68.127475014142945</v>
      </c>
      <c r="E4" s="10">
        <f>SUM(C2:C4)</f>
        <v>973554000</v>
      </c>
    </row>
    <row r="5" spans="1:10" x14ac:dyDescent="0.35">
      <c r="A5" t="s">
        <v>53</v>
      </c>
      <c r="B5" s="9" t="s">
        <v>15</v>
      </c>
      <c r="C5" s="10">
        <v>439527000</v>
      </c>
      <c r="D5" s="13">
        <f>C5/'Texas Acres'!C4</f>
        <v>3357.3720152160959</v>
      </c>
      <c r="E5" s="10">
        <f>SUM(C2:C5)</f>
        <v>1413081000</v>
      </c>
    </row>
    <row r="6" spans="1:10" x14ac:dyDescent="0.35">
      <c r="A6" t="s">
        <v>53</v>
      </c>
      <c r="B6" s="9" t="s">
        <v>16</v>
      </c>
      <c r="C6" s="10">
        <v>548390000</v>
      </c>
      <c r="D6" s="13">
        <f>C6/'Texas Acres'!C5</f>
        <v>45.192788998074739</v>
      </c>
      <c r="E6" s="3">
        <f>SUM(C2:C6)</f>
        <v>1961471000</v>
      </c>
    </row>
    <row r="7" spans="1:10" x14ac:dyDescent="0.35">
      <c r="A7" t="s">
        <v>38</v>
      </c>
    </row>
    <row r="8" spans="1:10" x14ac:dyDescent="0.35">
      <c r="G8">
        <v>1119</v>
      </c>
      <c r="H8" t="s">
        <v>82</v>
      </c>
      <c r="I8">
        <v>1111</v>
      </c>
      <c r="J8">
        <v>1112</v>
      </c>
    </row>
    <row r="9" spans="1:10" x14ac:dyDescent="0.35">
      <c r="A9" t="s">
        <v>39</v>
      </c>
      <c r="C9" s="14">
        <f>E6/'Texas Acres'!D5</f>
        <v>100.10083209185713</v>
      </c>
      <c r="D9" s="13">
        <f>E5/'Texas Acres'!D4</f>
        <v>189.40850297580832</v>
      </c>
      <c r="E9" s="13">
        <f>E4/'Texas Acres'!D3</f>
        <v>132.82534606348523</v>
      </c>
      <c r="G9" s="13">
        <f>C6/'Texas Acres'!C5</f>
        <v>45.192788998074739</v>
      </c>
      <c r="H9" s="13">
        <f>(C2+C3)/('Texas Acres'!C1+'Texas Acres'!C2)</f>
        <v>135.2536581153752</v>
      </c>
      <c r="I9" s="13">
        <f>D2</f>
        <v>117.38190407833758</v>
      </c>
      <c r="J9" s="13">
        <f>D3</f>
        <v>373.75396730312735</v>
      </c>
    </row>
    <row r="10" spans="1:10" x14ac:dyDescent="0.35">
      <c r="A10" t="s">
        <v>40</v>
      </c>
      <c r="C10" s="14">
        <f>E6/'Texas Acres'!E36</f>
        <v>33236.821147165974</v>
      </c>
      <c r="D10" s="13">
        <f>E5/'Texas Acres'!E35</f>
        <v>100503.62731152205</v>
      </c>
      <c r="E10" s="13">
        <f>E4/'Texas Acres'!E34</f>
        <v>78436.513051885267</v>
      </c>
      <c r="G10" s="13">
        <f>C6/'Texas Acres'!C36</f>
        <v>12198.643087531977</v>
      </c>
      <c r="H10" s="13">
        <f>(C2+C3)/('Texas Acres'!C32+'Texas Acres'!C33)</f>
        <v>144377.45542459958</v>
      </c>
      <c r="I10" s="13">
        <f>C2/'Texas Acres'!C32</f>
        <v>150817.20430107528</v>
      </c>
      <c r="J10" s="13">
        <f>C3/'Texas Acres'!C33</f>
        <v>122461.74318030606</v>
      </c>
    </row>
    <row r="13" spans="1:10" x14ac:dyDescent="0.35">
      <c r="A13" t="s">
        <v>72</v>
      </c>
      <c r="C13" s="10" t="s">
        <v>73</v>
      </c>
      <c r="D13" t="s">
        <v>74</v>
      </c>
      <c r="E13" t="s">
        <v>38</v>
      </c>
    </row>
    <row r="14" spans="1:10" x14ac:dyDescent="0.35">
      <c r="A14" t="s">
        <v>53</v>
      </c>
      <c r="B14" s="9" t="s">
        <v>12</v>
      </c>
      <c r="C14" s="10">
        <v>771430000</v>
      </c>
      <c r="D14" s="10">
        <v>466451000</v>
      </c>
      <c r="E14" s="10">
        <f>C14+D14</f>
        <v>1237881000</v>
      </c>
    </row>
    <row r="15" spans="1:10" x14ac:dyDescent="0.35">
      <c r="A15" t="s">
        <v>53</v>
      </c>
      <c r="B15" s="9" t="s">
        <v>13</v>
      </c>
      <c r="C15" s="10">
        <v>184060000</v>
      </c>
      <c r="D15" s="10">
        <v>64500000</v>
      </c>
      <c r="E15" s="10">
        <f t="shared" ref="E15:E18" si="0">C15+D15</f>
        <v>248560000</v>
      </c>
    </row>
    <row r="16" spans="1:10" x14ac:dyDescent="0.35">
      <c r="A16" t="s">
        <v>53</v>
      </c>
      <c r="B16" s="9" t="s">
        <v>14</v>
      </c>
      <c r="C16" s="10">
        <v>18064000</v>
      </c>
      <c r="D16" s="10">
        <v>22845000</v>
      </c>
      <c r="E16" s="10">
        <f t="shared" si="0"/>
        <v>40909000</v>
      </c>
    </row>
    <row r="17" spans="1:5" x14ac:dyDescent="0.35">
      <c r="A17" t="s">
        <v>53</v>
      </c>
      <c r="B17" s="9" t="s">
        <v>15</v>
      </c>
      <c r="C17" s="10">
        <v>439527000</v>
      </c>
      <c r="D17" s="10">
        <v>56284000</v>
      </c>
      <c r="E17" s="10">
        <f t="shared" si="0"/>
        <v>495811000</v>
      </c>
    </row>
    <row r="18" spans="1:5" x14ac:dyDescent="0.35">
      <c r="A18" t="s">
        <v>53</v>
      </c>
      <c r="B18" s="9" t="s">
        <v>16</v>
      </c>
      <c r="C18" s="10">
        <v>548390000</v>
      </c>
      <c r="D18" s="10">
        <v>409958000</v>
      </c>
      <c r="E18" s="10">
        <f t="shared" si="0"/>
        <v>958348000</v>
      </c>
    </row>
    <row r="19" spans="1:5" x14ac:dyDescent="0.35">
      <c r="A19" t="s">
        <v>38</v>
      </c>
      <c r="C19" s="3">
        <f>SUM(C14:C18)</f>
        <v>1961471000</v>
      </c>
      <c r="D19" s="3">
        <f>SUM(D14:D18)</f>
        <v>1020038000</v>
      </c>
      <c r="E19" s="10">
        <f>SUM(E14:E18)</f>
        <v>2981509000</v>
      </c>
    </row>
    <row r="21" spans="1:5" x14ac:dyDescent="0.35">
      <c r="A21" t="s">
        <v>39</v>
      </c>
      <c r="C21" s="14">
        <f>C19/'Texas Acres'!D5</f>
        <v>100.10083209185713</v>
      </c>
      <c r="D21" s="14">
        <f>D19/'Texas Acres'!D5</f>
        <v>52.056162219739043</v>
      </c>
      <c r="E21" s="14">
        <f>E19/'Texas Acres'!D5</f>
        <v>152.15699431159618</v>
      </c>
    </row>
    <row r="22" spans="1:5" x14ac:dyDescent="0.35">
      <c r="A22" t="s">
        <v>40</v>
      </c>
      <c r="C22" s="14">
        <f>C19/'Texas Acres'!E36</f>
        <v>33236.821147165974</v>
      </c>
      <c r="E22" s="14">
        <f>E19/'Texas Acres'!E36</f>
        <v>50521.206472930608</v>
      </c>
    </row>
    <row r="27" spans="1:5" x14ac:dyDescent="0.35">
      <c r="A27" s="18" t="s">
        <v>75</v>
      </c>
      <c r="B27" s="18"/>
      <c r="C27" s="18"/>
    </row>
    <row r="28" spans="1:5" x14ac:dyDescent="0.35">
      <c r="A28" t="s">
        <v>53</v>
      </c>
      <c r="B28" s="9" t="s">
        <v>12</v>
      </c>
      <c r="C28" s="3">
        <v>56880196000</v>
      </c>
    </row>
    <row r="29" spans="1:5" x14ac:dyDescent="0.35">
      <c r="A29" t="s">
        <v>53</v>
      </c>
      <c r="B29" s="9" t="s">
        <v>13</v>
      </c>
      <c r="C29" s="3">
        <v>7703300000</v>
      </c>
    </row>
    <row r="30" spans="1:5" x14ac:dyDescent="0.35">
      <c r="A30" t="s">
        <v>53</v>
      </c>
      <c r="B30" s="9" t="s">
        <v>14</v>
      </c>
      <c r="C30" s="3">
        <v>5822093000</v>
      </c>
    </row>
    <row r="31" spans="1:5" x14ac:dyDescent="0.35">
      <c r="A31" t="s">
        <v>53</v>
      </c>
      <c r="B31" s="9" t="s">
        <v>15</v>
      </c>
      <c r="C31" s="3">
        <v>5470565000</v>
      </c>
    </row>
    <row r="32" spans="1:5" x14ac:dyDescent="0.35">
      <c r="A32" t="s">
        <v>53</v>
      </c>
      <c r="B32" s="9" t="s">
        <v>16</v>
      </c>
      <c r="C32" s="3">
        <v>7935805000</v>
      </c>
    </row>
    <row r="33" spans="1:3" x14ac:dyDescent="0.35">
      <c r="A33" t="s">
        <v>38</v>
      </c>
      <c r="C33" s="3">
        <f>SUM(C28:C32)</f>
        <v>83811959000</v>
      </c>
    </row>
    <row r="35" spans="1:3" x14ac:dyDescent="0.35">
      <c r="A35" t="s">
        <v>39</v>
      </c>
      <c r="C35" s="14">
        <f>C33/'National Acres'!E5</f>
        <v>267.24422061530743</v>
      </c>
    </row>
    <row r="36" spans="1:3" x14ac:dyDescent="0.35">
      <c r="A36" t="s">
        <v>40</v>
      </c>
      <c r="C36" s="14">
        <f>C33/'National Acres'!E10</f>
        <v>89242.451410798501</v>
      </c>
    </row>
  </sheetData>
  <mergeCells count="2">
    <mergeCell ref="A27:C27"/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369E-AC5F-4546-A810-DE9374364226}">
  <dimension ref="A1:C53"/>
  <sheetViews>
    <sheetView workbookViewId="0">
      <selection activeCell="D5" sqref="D5"/>
    </sheetView>
  </sheetViews>
  <sheetFormatPr defaultRowHeight="14.5" x14ac:dyDescent="0.35"/>
  <cols>
    <col min="1" max="1" width="132.54296875" bestFit="1" customWidth="1"/>
    <col min="2" max="2" width="44.26953125" bestFit="1" customWidth="1"/>
    <col min="3" max="3" width="12.7265625" bestFit="1" customWidth="1"/>
  </cols>
  <sheetData>
    <row r="1" spans="1:3" x14ac:dyDescent="0.35">
      <c r="A1" t="s">
        <v>17</v>
      </c>
      <c r="B1" s="9" t="s">
        <v>12</v>
      </c>
      <c r="C1" s="10">
        <v>296224000</v>
      </c>
    </row>
    <row r="2" spans="1:3" x14ac:dyDescent="0.35">
      <c r="A2" t="s">
        <v>17</v>
      </c>
      <c r="B2" s="9" t="s">
        <v>13</v>
      </c>
      <c r="C2" s="10">
        <v>35570000</v>
      </c>
    </row>
    <row r="3" spans="1:3" x14ac:dyDescent="0.35">
      <c r="A3" t="s">
        <v>17</v>
      </c>
      <c r="B3" s="9" t="s">
        <v>14</v>
      </c>
      <c r="C3" s="10">
        <v>54529000</v>
      </c>
    </row>
    <row r="4" spans="1:3" x14ac:dyDescent="0.35">
      <c r="A4" t="s">
        <v>17</v>
      </c>
      <c r="B4" s="9" t="s">
        <v>15</v>
      </c>
      <c r="C4" s="10">
        <v>19958000</v>
      </c>
    </row>
    <row r="5" spans="1:3" x14ac:dyDescent="0.35">
      <c r="A5" t="s">
        <v>17</v>
      </c>
      <c r="B5" s="9" t="s">
        <v>16</v>
      </c>
      <c r="C5" s="10">
        <v>724025000</v>
      </c>
    </row>
    <row r="6" spans="1:3" x14ac:dyDescent="0.35">
      <c r="A6" t="s">
        <v>38</v>
      </c>
      <c r="C6" s="3">
        <f>SUM(C1:C5)</f>
        <v>1130306000</v>
      </c>
    </row>
    <row r="8" spans="1:3" x14ac:dyDescent="0.35">
      <c r="A8" t="s">
        <v>39</v>
      </c>
      <c r="C8" s="14">
        <f>C6/'Texas Acres'!D5</f>
        <v>57.683529921379751</v>
      </c>
    </row>
    <row r="9" spans="1:3" x14ac:dyDescent="0.35">
      <c r="A9" t="s">
        <v>40</v>
      </c>
      <c r="C9" s="14">
        <f>C6/'Texas Acres'!E36</f>
        <v>19152.859442514615</v>
      </c>
    </row>
    <row r="11" spans="1:3" x14ac:dyDescent="0.35">
      <c r="C11" s="13"/>
    </row>
    <row r="14" spans="1:3" x14ac:dyDescent="0.35">
      <c r="A14" t="s">
        <v>18</v>
      </c>
      <c r="B14" s="9" t="s">
        <v>12</v>
      </c>
      <c r="C14" s="10">
        <v>28762000</v>
      </c>
    </row>
    <row r="15" spans="1:3" x14ac:dyDescent="0.35">
      <c r="A15" t="s">
        <v>18</v>
      </c>
      <c r="B15" s="9" t="s">
        <v>13</v>
      </c>
      <c r="C15" s="10">
        <v>1748000</v>
      </c>
    </row>
    <row r="16" spans="1:3" x14ac:dyDescent="0.35">
      <c r="A16" t="s">
        <v>18</v>
      </c>
      <c r="B16" s="9" t="s">
        <v>14</v>
      </c>
      <c r="C16" s="10">
        <v>969000</v>
      </c>
    </row>
    <row r="17" spans="1:3" x14ac:dyDescent="0.35">
      <c r="A17" t="s">
        <v>18</v>
      </c>
      <c r="B17" s="9" t="s">
        <v>15</v>
      </c>
      <c r="C17" s="10">
        <v>1564000</v>
      </c>
    </row>
    <row r="18" spans="1:3" x14ac:dyDescent="0.35">
      <c r="A18" t="s">
        <v>18</v>
      </c>
      <c r="B18" s="9" t="s">
        <v>16</v>
      </c>
      <c r="C18" s="10">
        <v>50555000</v>
      </c>
    </row>
    <row r="19" spans="1:3" x14ac:dyDescent="0.35">
      <c r="A19" t="s">
        <v>19</v>
      </c>
      <c r="B19" s="9" t="s">
        <v>12</v>
      </c>
      <c r="C19" s="10">
        <v>2011000</v>
      </c>
    </row>
    <row r="20" spans="1:3" x14ac:dyDescent="0.35">
      <c r="A20" t="s">
        <v>19</v>
      </c>
      <c r="B20" s="9" t="s">
        <v>13</v>
      </c>
      <c r="C20" s="10">
        <v>265000</v>
      </c>
    </row>
    <row r="21" spans="1:3" x14ac:dyDescent="0.35">
      <c r="A21" t="s">
        <v>19</v>
      </c>
      <c r="B21" s="9" t="s">
        <v>14</v>
      </c>
      <c r="C21" s="10">
        <v>9243000</v>
      </c>
    </row>
    <row r="22" spans="1:3" x14ac:dyDescent="0.35">
      <c r="A22" t="s">
        <v>19</v>
      </c>
      <c r="B22" s="9" t="s">
        <v>15</v>
      </c>
      <c r="C22" s="10">
        <v>9175000</v>
      </c>
    </row>
    <row r="23" spans="1:3" x14ac:dyDescent="0.35">
      <c r="A23" t="s">
        <v>19</v>
      </c>
      <c r="B23" s="9" t="s">
        <v>16</v>
      </c>
      <c r="C23" s="10">
        <v>18962000</v>
      </c>
    </row>
    <row r="24" spans="1:3" x14ac:dyDescent="0.35">
      <c r="A24" t="s">
        <v>20</v>
      </c>
      <c r="B24" s="9" t="s">
        <v>12</v>
      </c>
      <c r="C24" s="10">
        <v>221347000</v>
      </c>
    </row>
    <row r="25" spans="1:3" x14ac:dyDescent="0.35">
      <c r="A25" t="s">
        <v>20</v>
      </c>
      <c r="B25" s="9" t="s">
        <v>13</v>
      </c>
      <c r="C25" s="10">
        <v>28222000</v>
      </c>
    </row>
    <row r="26" spans="1:3" x14ac:dyDescent="0.35">
      <c r="A26" t="s">
        <v>20</v>
      </c>
      <c r="B26" s="9" t="s">
        <v>14</v>
      </c>
      <c r="C26" s="10">
        <v>30635000</v>
      </c>
    </row>
    <row r="27" spans="1:3" x14ac:dyDescent="0.35">
      <c r="A27" t="s">
        <v>20</v>
      </c>
      <c r="B27" s="9" t="s">
        <v>15</v>
      </c>
      <c r="C27" s="10">
        <v>1845000</v>
      </c>
    </row>
    <row r="28" spans="1:3" x14ac:dyDescent="0.35">
      <c r="A28" t="s">
        <v>20</v>
      </c>
      <c r="B28" s="9" t="s">
        <v>16</v>
      </c>
      <c r="C28" s="10">
        <v>456325000</v>
      </c>
    </row>
    <row r="29" spans="1:3" x14ac:dyDescent="0.35">
      <c r="A29" t="s">
        <v>21</v>
      </c>
      <c r="B29" s="9" t="s">
        <v>12</v>
      </c>
      <c r="C29" s="10">
        <v>50000</v>
      </c>
    </row>
    <row r="30" spans="1:3" x14ac:dyDescent="0.35">
      <c r="A30" t="s">
        <v>21</v>
      </c>
      <c r="B30" s="9" t="s">
        <v>13</v>
      </c>
      <c r="C30" s="10">
        <v>322000</v>
      </c>
    </row>
    <row r="31" spans="1:3" x14ac:dyDescent="0.35">
      <c r="A31" t="s">
        <v>21</v>
      </c>
      <c r="B31" s="9" t="s">
        <v>14</v>
      </c>
      <c r="C31" s="10">
        <v>1339000</v>
      </c>
    </row>
    <row r="32" spans="1:3" x14ac:dyDescent="0.35">
      <c r="A32" t="s">
        <v>21</v>
      </c>
      <c r="B32" s="9" t="s">
        <v>15</v>
      </c>
      <c r="C32" s="10">
        <v>361000</v>
      </c>
    </row>
    <row r="33" spans="1:3" x14ac:dyDescent="0.35">
      <c r="A33" t="s">
        <v>21</v>
      </c>
      <c r="B33" s="9" t="s">
        <v>16</v>
      </c>
      <c r="C33" s="10">
        <v>9046000</v>
      </c>
    </row>
    <row r="34" spans="1:3" x14ac:dyDescent="0.35">
      <c r="A34" t="s">
        <v>22</v>
      </c>
      <c r="B34" s="9" t="s">
        <v>12</v>
      </c>
      <c r="C34" s="10">
        <v>490000</v>
      </c>
    </row>
    <row r="35" spans="1:3" x14ac:dyDescent="0.35">
      <c r="A35" t="s">
        <v>22</v>
      </c>
      <c r="B35" s="9" t="s">
        <v>13</v>
      </c>
      <c r="C35" s="10">
        <v>52000</v>
      </c>
    </row>
    <row r="36" spans="1:3" x14ac:dyDescent="0.35">
      <c r="A36" t="s">
        <v>22</v>
      </c>
      <c r="B36" s="9" t="s">
        <v>14</v>
      </c>
      <c r="C36" s="10">
        <v>978000</v>
      </c>
    </row>
    <row r="37" spans="1:3" x14ac:dyDescent="0.35">
      <c r="A37" t="s">
        <v>22</v>
      </c>
      <c r="B37" s="9" t="s">
        <v>15</v>
      </c>
      <c r="C37" s="10">
        <v>29000</v>
      </c>
    </row>
    <row r="38" spans="1:3" x14ac:dyDescent="0.35">
      <c r="A38" t="s">
        <v>22</v>
      </c>
      <c r="B38" s="9" t="s">
        <v>16</v>
      </c>
      <c r="C38" s="10">
        <v>2445000</v>
      </c>
    </row>
    <row r="39" spans="1:3" x14ac:dyDescent="0.35">
      <c r="A39" t="s">
        <v>23</v>
      </c>
      <c r="B39" s="9" t="s">
        <v>12</v>
      </c>
      <c r="C39" s="10">
        <v>8688000</v>
      </c>
    </row>
    <row r="40" spans="1:3" x14ac:dyDescent="0.35">
      <c r="A40" t="s">
        <v>23</v>
      </c>
      <c r="B40" s="9" t="s">
        <v>13</v>
      </c>
      <c r="C40" s="10">
        <v>1215000</v>
      </c>
    </row>
    <row r="41" spans="1:3" x14ac:dyDescent="0.35">
      <c r="A41" t="s">
        <v>23</v>
      </c>
      <c r="B41" s="9" t="s">
        <v>14</v>
      </c>
      <c r="C41" s="10">
        <v>2996000</v>
      </c>
    </row>
    <row r="42" spans="1:3" x14ac:dyDescent="0.35">
      <c r="A42" t="s">
        <v>23</v>
      </c>
      <c r="B42" s="9" t="s">
        <v>15</v>
      </c>
      <c r="C42" s="10">
        <v>5994000</v>
      </c>
    </row>
    <row r="43" spans="1:3" x14ac:dyDescent="0.35">
      <c r="A43" t="s">
        <v>23</v>
      </c>
      <c r="B43" s="9" t="s">
        <v>16</v>
      </c>
      <c r="C43" s="10">
        <v>25134000</v>
      </c>
    </row>
    <row r="44" spans="1:3" x14ac:dyDescent="0.35">
      <c r="A44" t="s">
        <v>24</v>
      </c>
      <c r="B44" s="9" t="s">
        <v>12</v>
      </c>
      <c r="C44" s="10">
        <v>10788000</v>
      </c>
    </row>
    <row r="45" spans="1:3" x14ac:dyDescent="0.35">
      <c r="A45" t="s">
        <v>24</v>
      </c>
      <c r="B45" s="9" t="s">
        <v>13</v>
      </c>
      <c r="C45" s="10">
        <v>1874000</v>
      </c>
    </row>
    <row r="46" spans="1:3" x14ac:dyDescent="0.35">
      <c r="A46" t="s">
        <v>24</v>
      </c>
      <c r="B46" s="9" t="s">
        <v>14</v>
      </c>
      <c r="C46" s="10">
        <v>3113000</v>
      </c>
    </row>
    <row r="47" spans="1:3" x14ac:dyDescent="0.35">
      <c r="A47" t="s">
        <v>24</v>
      </c>
      <c r="B47" s="9" t="s">
        <v>15</v>
      </c>
      <c r="C47" s="10">
        <v>535000</v>
      </c>
    </row>
    <row r="48" spans="1:3" x14ac:dyDescent="0.35">
      <c r="A48" t="s">
        <v>24</v>
      </c>
      <c r="B48" s="9" t="s">
        <v>16</v>
      </c>
      <c r="C48" s="10">
        <v>30707000</v>
      </c>
    </row>
    <row r="49" spans="1:3" x14ac:dyDescent="0.35">
      <c r="A49" t="s">
        <v>25</v>
      </c>
      <c r="B49" s="9" t="s">
        <v>12</v>
      </c>
      <c r="C49" s="10">
        <v>24089000</v>
      </c>
    </row>
    <row r="50" spans="1:3" x14ac:dyDescent="0.35">
      <c r="A50" t="s">
        <v>25</v>
      </c>
      <c r="B50" s="9" t="s">
        <v>13</v>
      </c>
      <c r="C50" s="10">
        <v>1872000</v>
      </c>
    </row>
    <row r="51" spans="1:3" x14ac:dyDescent="0.35">
      <c r="A51" t="s">
        <v>25</v>
      </c>
      <c r="B51" s="9" t="s">
        <v>14</v>
      </c>
      <c r="C51" s="10">
        <v>5256000</v>
      </c>
    </row>
    <row r="52" spans="1:3" x14ac:dyDescent="0.35">
      <c r="A52" t="s">
        <v>25</v>
      </c>
      <c r="B52" s="9" t="s">
        <v>15</v>
      </c>
      <c r="C52" s="10">
        <v>456000</v>
      </c>
    </row>
    <row r="53" spans="1:3" x14ac:dyDescent="0.35">
      <c r="A53" t="s">
        <v>25</v>
      </c>
      <c r="B53" s="9" t="s">
        <v>16</v>
      </c>
      <c r="C53" s="10">
        <v>130851000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F308-B184-447D-BAD3-6BD29A6EDABF}">
  <dimension ref="A1:C8"/>
  <sheetViews>
    <sheetView workbookViewId="0">
      <selection activeCell="C6" sqref="C6"/>
    </sheetView>
  </sheetViews>
  <sheetFormatPr defaultRowHeight="14.5" x14ac:dyDescent="0.35"/>
  <cols>
    <col min="1" max="1" width="35" bestFit="1" customWidth="1"/>
    <col min="2" max="2" width="28.1796875" bestFit="1" customWidth="1"/>
    <col min="3" max="3" width="12.7265625" bestFit="1" customWidth="1"/>
  </cols>
  <sheetData>
    <row r="1" spans="1:3" x14ac:dyDescent="0.35">
      <c r="A1" t="s">
        <v>41</v>
      </c>
      <c r="B1" s="9" t="s">
        <v>12</v>
      </c>
      <c r="C1" s="10">
        <v>2516499000</v>
      </c>
    </row>
    <row r="2" spans="1:3" x14ac:dyDescent="0.35">
      <c r="A2" t="s">
        <v>41</v>
      </c>
      <c r="B2" s="9" t="s">
        <v>13</v>
      </c>
      <c r="C2" s="10">
        <v>664547000</v>
      </c>
    </row>
    <row r="3" spans="1:3" x14ac:dyDescent="0.35">
      <c r="A3" t="s">
        <v>41</v>
      </c>
      <c r="B3" s="9" t="s">
        <v>14</v>
      </c>
      <c r="C3" s="10">
        <v>201713000</v>
      </c>
    </row>
    <row r="4" spans="1:3" x14ac:dyDescent="0.35">
      <c r="A4" t="s">
        <v>41</v>
      </c>
      <c r="B4" s="9" t="s">
        <v>15</v>
      </c>
      <c r="C4" s="10">
        <v>1169400000</v>
      </c>
    </row>
    <row r="5" spans="1:3" x14ac:dyDescent="0.35">
      <c r="A5" t="s">
        <v>41</v>
      </c>
      <c r="B5" s="9" t="s">
        <v>16</v>
      </c>
      <c r="C5" s="10">
        <v>2356172000</v>
      </c>
    </row>
    <row r="6" spans="1:3" x14ac:dyDescent="0.35">
      <c r="A6" t="s">
        <v>38</v>
      </c>
      <c r="C6" s="10">
        <f>SUM(C1:C5)</f>
        <v>6908331000</v>
      </c>
    </row>
    <row r="8" spans="1:3" x14ac:dyDescent="0.35">
      <c r="A8" t="s">
        <v>11</v>
      </c>
      <c r="C8" s="14">
        <f>C6/'Texas Acres'!D5</f>
        <v>352.55666867670817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964D-C3AD-487B-8A78-3D69E23E6BF7}">
  <dimension ref="A1:D234"/>
  <sheetViews>
    <sheetView topLeftCell="A25" workbookViewId="0">
      <selection activeCell="A76" sqref="A76"/>
    </sheetView>
  </sheetViews>
  <sheetFormatPr defaultRowHeight="14.5" x14ac:dyDescent="0.35"/>
  <cols>
    <col min="1" max="1" width="105.1796875" bestFit="1" customWidth="1"/>
    <col min="2" max="2" width="28.1796875" bestFit="1" customWidth="1"/>
    <col min="3" max="4" width="12.7265625" bestFit="1" customWidth="1"/>
  </cols>
  <sheetData>
    <row r="1" spans="1:4" x14ac:dyDescent="0.35">
      <c r="A1" t="s">
        <v>42</v>
      </c>
      <c r="B1" s="9" t="s">
        <v>12</v>
      </c>
      <c r="C1" s="10">
        <v>4856000</v>
      </c>
    </row>
    <row r="2" spans="1:4" x14ac:dyDescent="0.35">
      <c r="A2" t="s">
        <v>42</v>
      </c>
      <c r="B2" s="9" t="s">
        <v>13</v>
      </c>
      <c r="C2" s="10">
        <v>386000</v>
      </c>
    </row>
    <row r="3" spans="1:4" x14ac:dyDescent="0.35">
      <c r="A3" t="s">
        <v>42</v>
      </c>
      <c r="B3" s="9" t="s">
        <v>14</v>
      </c>
      <c r="C3" s="10">
        <v>891000</v>
      </c>
    </row>
    <row r="4" spans="1:4" x14ac:dyDescent="0.35">
      <c r="A4" t="s">
        <v>42</v>
      </c>
      <c r="B4" s="9" t="s">
        <v>15</v>
      </c>
      <c r="C4" s="10">
        <v>248000</v>
      </c>
    </row>
    <row r="5" spans="1:4" x14ac:dyDescent="0.35">
      <c r="A5" t="s">
        <v>42</v>
      </c>
      <c r="B5" s="9" t="s">
        <v>16</v>
      </c>
      <c r="C5" s="10">
        <v>15710000</v>
      </c>
      <c r="D5" s="10">
        <f>SUM(C1:C5)</f>
        <v>22091000</v>
      </c>
    </row>
    <row r="6" spans="1:4" x14ac:dyDescent="0.35">
      <c r="A6" t="s">
        <v>43</v>
      </c>
      <c r="B6" s="9" t="s">
        <v>12</v>
      </c>
      <c r="C6" s="10">
        <v>102053000</v>
      </c>
    </row>
    <row r="7" spans="1:4" x14ac:dyDescent="0.35">
      <c r="A7" t="s">
        <v>43</v>
      </c>
      <c r="B7" s="9" t="s">
        <v>13</v>
      </c>
      <c r="C7" s="10">
        <v>14683000</v>
      </c>
    </row>
    <row r="8" spans="1:4" x14ac:dyDescent="0.35">
      <c r="A8" t="s">
        <v>43</v>
      </c>
      <c r="B8" s="9" t="s">
        <v>14</v>
      </c>
      <c r="C8" s="10">
        <v>7415000</v>
      </c>
    </row>
    <row r="9" spans="1:4" x14ac:dyDescent="0.35">
      <c r="A9" t="s">
        <v>43</v>
      </c>
      <c r="B9" s="9" t="s">
        <v>15</v>
      </c>
      <c r="C9" s="10">
        <v>8452000</v>
      </c>
    </row>
    <row r="10" spans="1:4" x14ac:dyDescent="0.35">
      <c r="A10" t="s">
        <v>43</v>
      </c>
      <c r="B10" s="9" t="s">
        <v>16</v>
      </c>
      <c r="C10" s="10">
        <v>96302000</v>
      </c>
      <c r="D10" s="10">
        <f t="shared" ref="D10" si="0">SUM(C6:C10)</f>
        <v>228905000</v>
      </c>
    </row>
    <row r="11" spans="1:4" x14ac:dyDescent="0.35">
      <c r="A11" t="s">
        <v>44</v>
      </c>
      <c r="B11" s="9" t="s">
        <v>12</v>
      </c>
      <c r="C11" s="10">
        <v>27671000</v>
      </c>
    </row>
    <row r="12" spans="1:4" x14ac:dyDescent="0.35">
      <c r="A12" t="s">
        <v>44</v>
      </c>
      <c r="B12" s="9" t="s">
        <v>13</v>
      </c>
      <c r="C12" s="10">
        <v>4191000</v>
      </c>
    </row>
    <row r="13" spans="1:4" x14ac:dyDescent="0.35">
      <c r="A13" t="s">
        <v>44</v>
      </c>
      <c r="B13" s="9" t="s">
        <v>14</v>
      </c>
      <c r="C13" s="10">
        <v>2785000</v>
      </c>
    </row>
    <row r="14" spans="1:4" x14ac:dyDescent="0.35">
      <c r="A14" t="s">
        <v>44</v>
      </c>
      <c r="B14" s="9" t="s">
        <v>15</v>
      </c>
      <c r="C14" s="10">
        <v>8989000</v>
      </c>
    </row>
    <row r="15" spans="1:4" x14ac:dyDescent="0.35">
      <c r="A15" t="s">
        <v>44</v>
      </c>
      <c r="B15" s="9" t="s">
        <v>16</v>
      </c>
      <c r="C15" s="10">
        <v>38751000</v>
      </c>
      <c r="D15" s="10">
        <f t="shared" ref="D15" si="1">SUM(C11:C15)</f>
        <v>82387000</v>
      </c>
    </row>
    <row r="16" spans="1:4" x14ac:dyDescent="0.35">
      <c r="A16" t="s">
        <v>45</v>
      </c>
      <c r="B16" s="9" t="s">
        <v>12</v>
      </c>
      <c r="C16" s="10">
        <v>124864000</v>
      </c>
    </row>
    <row r="17" spans="1:4" x14ac:dyDescent="0.35">
      <c r="A17" t="s">
        <v>45</v>
      </c>
      <c r="B17" s="9" t="s">
        <v>13</v>
      </c>
      <c r="C17" s="10">
        <v>34810000</v>
      </c>
    </row>
    <row r="18" spans="1:4" x14ac:dyDescent="0.35">
      <c r="A18" t="s">
        <v>45</v>
      </c>
      <c r="B18" s="9" t="s">
        <v>14</v>
      </c>
      <c r="C18" s="10">
        <v>23418000</v>
      </c>
    </row>
    <row r="19" spans="1:4" x14ac:dyDescent="0.35">
      <c r="A19" t="s">
        <v>45</v>
      </c>
      <c r="B19" s="9" t="s">
        <v>15</v>
      </c>
      <c r="C19" s="10">
        <v>49857000</v>
      </c>
    </row>
    <row r="20" spans="1:4" x14ac:dyDescent="0.35">
      <c r="A20" t="s">
        <v>45</v>
      </c>
      <c r="B20" s="9" t="s">
        <v>16</v>
      </c>
      <c r="C20" s="10">
        <v>184024000</v>
      </c>
      <c r="D20" s="10">
        <f t="shared" ref="D20" si="2">SUM(C16:C20)</f>
        <v>416973000</v>
      </c>
    </row>
    <row r="21" spans="1:4" x14ac:dyDescent="0.35">
      <c r="A21" t="s">
        <v>46</v>
      </c>
      <c r="B21" s="9" t="s">
        <v>12</v>
      </c>
      <c r="C21" s="10">
        <v>111738000</v>
      </c>
    </row>
    <row r="22" spans="1:4" x14ac:dyDescent="0.35">
      <c r="A22" t="s">
        <v>46</v>
      </c>
      <c r="B22" s="9" t="s">
        <v>13</v>
      </c>
      <c r="C22" s="10">
        <v>25605000</v>
      </c>
    </row>
    <row r="23" spans="1:4" x14ac:dyDescent="0.35">
      <c r="A23" t="s">
        <v>46</v>
      </c>
      <c r="B23" s="9" t="s">
        <v>14</v>
      </c>
      <c r="C23" s="10">
        <v>13959000</v>
      </c>
    </row>
    <row r="24" spans="1:4" x14ac:dyDescent="0.35">
      <c r="A24" t="s">
        <v>46</v>
      </c>
      <c r="B24" s="9" t="s">
        <v>15</v>
      </c>
      <c r="C24" s="10">
        <v>32633000</v>
      </c>
    </row>
    <row r="25" spans="1:4" x14ac:dyDescent="0.35">
      <c r="A25" t="s">
        <v>46</v>
      </c>
      <c r="B25" s="9" t="s">
        <v>16</v>
      </c>
      <c r="C25" s="10">
        <v>175212000</v>
      </c>
      <c r="D25" s="10">
        <f t="shared" ref="D25" si="3">SUM(C21:C25)</f>
        <v>359147000</v>
      </c>
    </row>
    <row r="26" spans="1:4" x14ac:dyDescent="0.35">
      <c r="A26" t="s">
        <v>47</v>
      </c>
      <c r="B26" s="9" t="s">
        <v>12</v>
      </c>
      <c r="C26" s="10">
        <v>18618000</v>
      </c>
    </row>
    <row r="27" spans="1:4" x14ac:dyDescent="0.35">
      <c r="A27" t="s">
        <v>47</v>
      </c>
      <c r="B27" s="9" t="s">
        <v>13</v>
      </c>
      <c r="C27" s="10">
        <v>724000</v>
      </c>
    </row>
    <row r="28" spans="1:4" x14ac:dyDescent="0.35">
      <c r="A28" t="s">
        <v>47</v>
      </c>
      <c r="B28" s="9" t="s">
        <v>14</v>
      </c>
      <c r="C28" s="10">
        <v>558000</v>
      </c>
    </row>
    <row r="29" spans="1:4" x14ac:dyDescent="0.35">
      <c r="A29" t="s">
        <v>47</v>
      </c>
      <c r="B29" s="9" t="s">
        <v>15</v>
      </c>
      <c r="C29" s="10">
        <v>373000</v>
      </c>
    </row>
    <row r="30" spans="1:4" x14ac:dyDescent="0.35">
      <c r="A30" t="s">
        <v>47</v>
      </c>
      <c r="B30" s="9" t="s">
        <v>16</v>
      </c>
      <c r="C30" s="10">
        <v>16493000</v>
      </c>
      <c r="D30" s="10">
        <f t="shared" ref="D30" si="4">SUM(C26:C30)</f>
        <v>36766000</v>
      </c>
    </row>
    <row r="31" spans="1:4" x14ac:dyDescent="0.35">
      <c r="A31" t="s">
        <v>48</v>
      </c>
      <c r="B31" s="9" t="s">
        <v>12</v>
      </c>
      <c r="C31" s="10">
        <v>8485000</v>
      </c>
    </row>
    <row r="32" spans="1:4" x14ac:dyDescent="0.35">
      <c r="A32" t="s">
        <v>48</v>
      </c>
      <c r="B32" s="9" t="s">
        <v>13</v>
      </c>
      <c r="C32" s="10">
        <v>916000</v>
      </c>
    </row>
    <row r="33" spans="1:4" x14ac:dyDescent="0.35">
      <c r="A33" t="s">
        <v>48</v>
      </c>
      <c r="B33" s="9" t="s">
        <v>14</v>
      </c>
      <c r="C33" s="10">
        <v>751000</v>
      </c>
    </row>
    <row r="34" spans="1:4" x14ac:dyDescent="0.35">
      <c r="A34" t="s">
        <v>48</v>
      </c>
      <c r="B34" s="9" t="s">
        <v>15</v>
      </c>
      <c r="C34" s="10">
        <v>483000</v>
      </c>
    </row>
    <row r="35" spans="1:4" x14ac:dyDescent="0.35">
      <c r="A35" t="s">
        <v>48</v>
      </c>
      <c r="B35" s="9" t="s">
        <v>16</v>
      </c>
      <c r="C35" s="10">
        <v>14925000</v>
      </c>
      <c r="D35" s="10">
        <f t="shared" ref="D35" si="5">SUM(C31:C35)</f>
        <v>25560000</v>
      </c>
    </row>
    <row r="36" spans="1:4" x14ac:dyDescent="0.35">
      <c r="A36" t="s">
        <v>49</v>
      </c>
      <c r="B36" s="9" t="s">
        <v>12</v>
      </c>
      <c r="C36" s="10">
        <v>275816000</v>
      </c>
    </row>
    <row r="37" spans="1:4" x14ac:dyDescent="0.35">
      <c r="A37" t="s">
        <v>49</v>
      </c>
      <c r="B37" s="9" t="s">
        <v>13</v>
      </c>
      <c r="C37" s="10">
        <v>49618000</v>
      </c>
    </row>
    <row r="38" spans="1:4" x14ac:dyDescent="0.35">
      <c r="A38" t="s">
        <v>49</v>
      </c>
      <c r="B38" s="9" t="s">
        <v>14</v>
      </c>
      <c r="C38" s="10">
        <v>21090000</v>
      </c>
    </row>
    <row r="39" spans="1:4" x14ac:dyDescent="0.35">
      <c r="A39" t="s">
        <v>49</v>
      </c>
      <c r="B39" s="9" t="s">
        <v>15</v>
      </c>
      <c r="C39" s="10">
        <v>29390000</v>
      </c>
    </row>
    <row r="40" spans="1:4" x14ac:dyDescent="0.35">
      <c r="A40" t="s">
        <v>49</v>
      </c>
      <c r="B40" s="9" t="s">
        <v>16</v>
      </c>
      <c r="C40" s="10">
        <v>348491000</v>
      </c>
      <c r="D40" s="10">
        <f t="shared" ref="D40" si="6">SUM(C36:C40)</f>
        <v>724405000</v>
      </c>
    </row>
    <row r="41" spans="1:4" x14ac:dyDescent="0.35">
      <c r="A41" t="s">
        <v>54</v>
      </c>
      <c r="B41" s="9" t="s">
        <v>12</v>
      </c>
      <c r="C41" s="10">
        <v>28910000</v>
      </c>
    </row>
    <row r="42" spans="1:4" x14ac:dyDescent="0.35">
      <c r="A42" t="s">
        <v>54</v>
      </c>
      <c r="B42" s="9" t="s">
        <v>13</v>
      </c>
      <c r="C42" s="10">
        <v>5296000</v>
      </c>
    </row>
    <row r="43" spans="1:4" x14ac:dyDescent="0.35">
      <c r="A43" t="s">
        <v>54</v>
      </c>
      <c r="B43" s="9" t="s">
        <v>14</v>
      </c>
      <c r="C43" s="10">
        <v>6474000</v>
      </c>
    </row>
    <row r="44" spans="1:4" x14ac:dyDescent="0.35">
      <c r="A44" t="s">
        <v>54</v>
      </c>
      <c r="B44" s="9" t="s">
        <v>15</v>
      </c>
      <c r="C44" s="10">
        <v>3475000</v>
      </c>
    </row>
    <row r="45" spans="1:4" x14ac:dyDescent="0.35">
      <c r="A45" t="s">
        <v>54</v>
      </c>
      <c r="B45" s="9" t="s">
        <v>16</v>
      </c>
      <c r="C45" s="10">
        <v>55739000</v>
      </c>
      <c r="D45" s="10">
        <f t="shared" ref="D45" si="7">SUM(C41:C45)</f>
        <v>99894000</v>
      </c>
    </row>
    <row r="46" spans="1:4" x14ac:dyDescent="0.35">
      <c r="A46" t="s">
        <v>55</v>
      </c>
      <c r="B46" s="9" t="s">
        <v>12</v>
      </c>
      <c r="C46" s="10">
        <v>466451000</v>
      </c>
    </row>
    <row r="47" spans="1:4" x14ac:dyDescent="0.35">
      <c r="A47" t="s">
        <v>55</v>
      </c>
      <c r="B47" s="9" t="s">
        <v>13</v>
      </c>
      <c r="C47" s="10">
        <v>64500000</v>
      </c>
    </row>
    <row r="48" spans="1:4" x14ac:dyDescent="0.35">
      <c r="A48" t="s">
        <v>55</v>
      </c>
      <c r="B48" s="9" t="s">
        <v>14</v>
      </c>
      <c r="C48" s="10">
        <v>22845000</v>
      </c>
    </row>
    <row r="49" spans="1:4" x14ac:dyDescent="0.35">
      <c r="A49" t="s">
        <v>55</v>
      </c>
      <c r="B49" s="9" t="s">
        <v>15</v>
      </c>
      <c r="C49" s="10">
        <v>56284000</v>
      </c>
    </row>
    <row r="50" spans="1:4" x14ac:dyDescent="0.35">
      <c r="A50" t="s">
        <v>55</v>
      </c>
      <c r="B50" s="9" t="s">
        <v>16</v>
      </c>
      <c r="C50" s="10">
        <v>409958000</v>
      </c>
      <c r="D50" s="10">
        <f t="shared" ref="D50" si="8">SUM(C46:C50)</f>
        <v>1020038000</v>
      </c>
    </row>
    <row r="51" spans="1:4" x14ac:dyDescent="0.35">
      <c r="A51" t="s">
        <v>56</v>
      </c>
      <c r="B51" s="9" t="s">
        <v>12</v>
      </c>
      <c r="C51" s="10">
        <v>204346000</v>
      </c>
    </row>
    <row r="52" spans="1:4" x14ac:dyDescent="0.35">
      <c r="A52" t="s">
        <v>56</v>
      </c>
      <c r="B52" s="9" t="s">
        <v>13</v>
      </c>
      <c r="C52" s="10">
        <v>35666000</v>
      </c>
    </row>
    <row r="53" spans="1:4" x14ac:dyDescent="0.35">
      <c r="A53" t="s">
        <v>56</v>
      </c>
      <c r="B53" s="9" t="s">
        <v>14</v>
      </c>
      <c r="C53" s="10">
        <v>14471000</v>
      </c>
    </row>
    <row r="54" spans="1:4" x14ac:dyDescent="0.35">
      <c r="A54" t="s">
        <v>56</v>
      </c>
      <c r="B54" s="9" t="s">
        <v>15</v>
      </c>
      <c r="C54" s="10">
        <v>45338000</v>
      </c>
    </row>
    <row r="55" spans="1:4" x14ac:dyDescent="0.35">
      <c r="A55" t="s">
        <v>56</v>
      </c>
      <c r="B55" s="9" t="s">
        <v>16</v>
      </c>
      <c r="C55" s="10">
        <v>261926000</v>
      </c>
      <c r="D55" s="10">
        <f t="shared" ref="D55" si="9">SUM(C51:C55)</f>
        <v>561747000</v>
      </c>
    </row>
    <row r="56" spans="1:4" x14ac:dyDescent="0.35">
      <c r="A56" t="s">
        <v>57</v>
      </c>
      <c r="B56" s="9" t="s">
        <v>12</v>
      </c>
      <c r="C56" s="10">
        <v>91229000</v>
      </c>
    </row>
    <row r="57" spans="1:4" x14ac:dyDescent="0.35">
      <c r="A57" t="s">
        <v>57</v>
      </c>
      <c r="B57" s="9" t="s">
        <v>13</v>
      </c>
      <c r="C57" s="10">
        <v>10935000</v>
      </c>
    </row>
    <row r="58" spans="1:4" x14ac:dyDescent="0.35">
      <c r="A58" t="s">
        <v>57</v>
      </c>
      <c r="B58" s="9" t="s">
        <v>14</v>
      </c>
      <c r="C58" s="10">
        <v>18396000</v>
      </c>
    </row>
    <row r="59" spans="1:4" x14ac:dyDescent="0.35">
      <c r="A59" t="s">
        <v>57</v>
      </c>
      <c r="B59" s="9" t="s">
        <v>15</v>
      </c>
      <c r="C59" s="10">
        <v>10393000</v>
      </c>
    </row>
    <row r="60" spans="1:4" x14ac:dyDescent="0.35">
      <c r="A60" t="s">
        <v>57</v>
      </c>
      <c r="B60" s="9" t="s">
        <v>16</v>
      </c>
      <c r="C60" s="10">
        <v>168390000</v>
      </c>
      <c r="D60" s="10">
        <f t="shared" ref="D60" si="10">SUM(C56:C60)</f>
        <v>299343000</v>
      </c>
    </row>
    <row r="61" spans="1:4" x14ac:dyDescent="0.35">
      <c r="A61" t="s">
        <v>58</v>
      </c>
      <c r="B61" s="9" t="s">
        <v>12</v>
      </c>
      <c r="C61" s="10">
        <v>30971000</v>
      </c>
    </row>
    <row r="62" spans="1:4" x14ac:dyDescent="0.35">
      <c r="A62" t="s">
        <v>58</v>
      </c>
      <c r="B62" s="9" t="s">
        <v>13</v>
      </c>
      <c r="C62" s="10">
        <v>32951000</v>
      </c>
    </row>
    <row r="63" spans="1:4" x14ac:dyDescent="0.35">
      <c r="A63" t="s">
        <v>58</v>
      </c>
      <c r="B63" s="9" t="s">
        <v>14</v>
      </c>
      <c r="C63" s="10">
        <v>23645000</v>
      </c>
    </row>
    <row r="64" spans="1:4" x14ac:dyDescent="0.35">
      <c r="A64" t="s">
        <v>58</v>
      </c>
      <c r="B64" s="9" t="s">
        <v>15</v>
      </c>
      <c r="C64" s="10">
        <v>21202000</v>
      </c>
    </row>
    <row r="65" spans="1:4" x14ac:dyDescent="0.35">
      <c r="A65" t="s">
        <v>58</v>
      </c>
      <c r="B65" s="9" t="s">
        <v>16</v>
      </c>
      <c r="C65" s="10">
        <v>70127000</v>
      </c>
      <c r="D65" s="10">
        <f t="shared" ref="D65" si="11">SUM(C61:C65)</f>
        <v>178896000</v>
      </c>
    </row>
    <row r="66" spans="1:4" x14ac:dyDescent="0.35">
      <c r="A66" t="s">
        <v>59</v>
      </c>
      <c r="B66" s="9" t="s">
        <v>12</v>
      </c>
      <c r="C66" s="10">
        <v>149627000</v>
      </c>
    </row>
    <row r="67" spans="1:4" x14ac:dyDescent="0.35">
      <c r="A67" t="s">
        <v>59</v>
      </c>
      <c r="B67" s="9" t="s">
        <v>13</v>
      </c>
      <c r="C67" s="10">
        <v>119863000</v>
      </c>
    </row>
    <row r="68" spans="1:4" x14ac:dyDescent="0.35">
      <c r="A68" t="s">
        <v>59</v>
      </c>
      <c r="B68" s="9" t="s">
        <v>14</v>
      </c>
      <c r="C68" s="10">
        <v>57160000</v>
      </c>
    </row>
    <row r="69" spans="1:4" x14ac:dyDescent="0.35">
      <c r="A69" t="s">
        <v>59</v>
      </c>
      <c r="B69" s="9" t="s">
        <v>15</v>
      </c>
      <c r="C69" s="10">
        <v>320081000</v>
      </c>
    </row>
    <row r="70" spans="1:4" x14ac:dyDescent="0.35">
      <c r="A70" t="s">
        <v>59</v>
      </c>
      <c r="B70" s="9" t="s">
        <v>16</v>
      </c>
      <c r="C70" s="10">
        <v>288743000</v>
      </c>
      <c r="D70" s="10">
        <f t="shared" ref="D70" si="12">SUM(C66:C70)</f>
        <v>935474000</v>
      </c>
    </row>
    <row r="71" spans="1:4" x14ac:dyDescent="0.35">
      <c r="A71" t="s">
        <v>60</v>
      </c>
      <c r="B71" s="9" t="s">
        <v>12</v>
      </c>
      <c r="C71" s="10">
        <v>162434000</v>
      </c>
    </row>
    <row r="72" spans="1:4" x14ac:dyDescent="0.35">
      <c r="A72" t="s">
        <v>60</v>
      </c>
      <c r="B72" s="9" t="s">
        <v>13</v>
      </c>
      <c r="C72" s="10">
        <v>30924000</v>
      </c>
    </row>
    <row r="73" spans="1:4" x14ac:dyDescent="0.35">
      <c r="A73" t="s">
        <v>60</v>
      </c>
      <c r="B73" s="9" t="s">
        <v>14</v>
      </c>
      <c r="C73" s="10">
        <v>6220000</v>
      </c>
    </row>
    <row r="74" spans="1:4" x14ac:dyDescent="0.35">
      <c r="A74" t="s">
        <v>60</v>
      </c>
      <c r="B74" s="9" t="s">
        <v>15</v>
      </c>
      <c r="C74" s="10">
        <v>15333000</v>
      </c>
    </row>
    <row r="75" spans="1:4" x14ac:dyDescent="0.35">
      <c r="A75" t="s">
        <v>60</v>
      </c>
      <c r="B75" s="9" t="s">
        <v>16</v>
      </c>
      <c r="C75" s="10">
        <v>151184000</v>
      </c>
      <c r="D75" s="10">
        <f t="shared" ref="D75" si="13">SUM(C71:C75)</f>
        <v>366095000</v>
      </c>
    </row>
    <row r="76" spans="1:4" x14ac:dyDescent="0.35">
      <c r="A76" t="s">
        <v>62</v>
      </c>
      <c r="B76" s="9" t="s">
        <v>12</v>
      </c>
      <c r="C76" s="10">
        <v>276672000</v>
      </c>
    </row>
    <row r="77" spans="1:4" x14ac:dyDescent="0.35">
      <c r="A77" t="s">
        <v>62</v>
      </c>
      <c r="B77" s="9" t="s">
        <v>13</v>
      </c>
      <c r="C77" s="10">
        <v>60548000</v>
      </c>
    </row>
    <row r="78" spans="1:4" x14ac:dyDescent="0.35">
      <c r="A78" t="s">
        <v>62</v>
      </c>
      <c r="B78" s="9" t="s">
        <v>14</v>
      </c>
      <c r="C78" s="10">
        <v>7724000</v>
      </c>
    </row>
    <row r="79" spans="1:4" x14ac:dyDescent="0.35">
      <c r="A79" t="s">
        <v>62</v>
      </c>
      <c r="B79" s="9" t="s">
        <v>15</v>
      </c>
      <c r="C79" s="10">
        <v>88446000</v>
      </c>
    </row>
    <row r="80" spans="1:4" x14ac:dyDescent="0.35">
      <c r="A80" t="s">
        <v>62</v>
      </c>
      <c r="B80" s="9" t="s">
        <v>16</v>
      </c>
      <c r="C80" s="10">
        <v>323108000</v>
      </c>
      <c r="D80" s="10">
        <f t="shared" ref="D80" si="14">SUM(C76:C80)</f>
        <v>756498000</v>
      </c>
    </row>
    <row r="81" spans="1:4" x14ac:dyDescent="0.35">
      <c r="A81" t="s">
        <v>63</v>
      </c>
      <c r="B81" s="9" t="s">
        <v>12</v>
      </c>
      <c r="C81" s="10">
        <v>222925000</v>
      </c>
    </row>
    <row r="82" spans="1:4" x14ac:dyDescent="0.35">
      <c r="A82" t="s">
        <v>63</v>
      </c>
      <c r="B82" s="9" t="s">
        <v>13</v>
      </c>
      <c r="C82" s="10">
        <v>46430000</v>
      </c>
    </row>
    <row r="83" spans="1:4" x14ac:dyDescent="0.35">
      <c r="A83" t="s">
        <v>63</v>
      </c>
      <c r="B83" s="9" t="s">
        <v>14</v>
      </c>
      <c r="C83" s="10">
        <v>26750000</v>
      </c>
    </row>
    <row r="84" spans="1:4" x14ac:dyDescent="0.35">
      <c r="A84" t="s">
        <v>63</v>
      </c>
      <c r="B84" s="9" t="s">
        <v>15</v>
      </c>
      <c r="C84" s="10">
        <v>55650000</v>
      </c>
    </row>
    <row r="85" spans="1:4" x14ac:dyDescent="0.35">
      <c r="A85" t="s">
        <v>63</v>
      </c>
      <c r="B85" s="9" t="s">
        <v>16</v>
      </c>
      <c r="C85" s="10">
        <v>340890000</v>
      </c>
      <c r="D85" s="10">
        <f t="shared" ref="D85" si="15">SUM(C81:C85)</f>
        <v>692645000</v>
      </c>
    </row>
    <row r="86" spans="1:4" x14ac:dyDescent="0.35">
      <c r="A86" t="s">
        <v>64</v>
      </c>
      <c r="B86" s="9" t="s">
        <v>12</v>
      </c>
      <c r="C86" s="10">
        <v>40933000</v>
      </c>
    </row>
    <row r="87" spans="1:4" x14ac:dyDescent="0.35">
      <c r="A87" t="s">
        <v>64</v>
      </c>
      <c r="B87" s="9" t="s">
        <v>13</v>
      </c>
      <c r="C87" s="10">
        <v>7459000</v>
      </c>
    </row>
    <row r="88" spans="1:4" x14ac:dyDescent="0.35">
      <c r="A88" t="s">
        <v>64</v>
      </c>
      <c r="B88" s="9" t="s">
        <v>14</v>
      </c>
      <c r="C88" s="10">
        <v>19918000</v>
      </c>
    </row>
    <row r="89" spans="1:4" x14ac:dyDescent="0.35">
      <c r="A89" t="s">
        <v>64</v>
      </c>
      <c r="B89" s="9" t="s">
        <v>15</v>
      </c>
      <c r="C89" s="10">
        <v>11535000</v>
      </c>
    </row>
    <row r="90" spans="1:4" x14ac:dyDescent="0.35">
      <c r="A90" t="s">
        <v>64</v>
      </c>
      <c r="B90" s="9" t="s">
        <v>16</v>
      </c>
      <c r="C90" s="10">
        <v>145391000</v>
      </c>
      <c r="D90" s="10">
        <f t="shared" ref="D90" si="16">SUM(C86:C90)</f>
        <v>225236000</v>
      </c>
    </row>
    <row r="92" spans="1:4" x14ac:dyDescent="0.35">
      <c r="C92" s="10">
        <f>SUM(C1:C90)</f>
        <v>7032100000</v>
      </c>
    </row>
    <row r="94" spans="1:4" x14ac:dyDescent="0.35">
      <c r="C94" s="10"/>
    </row>
    <row r="103" spans="1:4" x14ac:dyDescent="0.35">
      <c r="A103" t="s">
        <v>61</v>
      </c>
      <c r="B103" s="15" t="s">
        <v>12</v>
      </c>
      <c r="C103" s="10">
        <v>4701000</v>
      </c>
    </row>
    <row r="104" spans="1:4" x14ac:dyDescent="0.35">
      <c r="A104" t="s">
        <v>61</v>
      </c>
      <c r="B104" s="15" t="s">
        <v>13</v>
      </c>
      <c r="C104" s="10">
        <v>1047000</v>
      </c>
    </row>
    <row r="105" spans="1:4" x14ac:dyDescent="0.35">
      <c r="A105" t="s">
        <v>61</v>
      </c>
      <c r="B105" s="15" t="s">
        <v>14</v>
      </c>
      <c r="C105" s="10">
        <v>197000</v>
      </c>
    </row>
    <row r="106" spans="1:4" x14ac:dyDescent="0.35">
      <c r="A106" t="s">
        <v>61</v>
      </c>
      <c r="B106" s="15" t="s">
        <v>15</v>
      </c>
      <c r="C106" s="10">
        <v>106000</v>
      </c>
    </row>
    <row r="107" spans="1:4" x14ac:dyDescent="0.35">
      <c r="A107" t="s">
        <v>61</v>
      </c>
      <c r="B107" s="15" t="s">
        <v>16</v>
      </c>
      <c r="C107" s="10">
        <v>10811000</v>
      </c>
      <c r="D107" s="10"/>
    </row>
    <row r="108" spans="1:4" x14ac:dyDescent="0.35">
      <c r="A108" t="s">
        <v>50</v>
      </c>
      <c r="B108" s="15" t="s">
        <v>12</v>
      </c>
      <c r="C108" s="10">
        <v>344454000</v>
      </c>
    </row>
    <row r="109" spans="1:4" x14ac:dyDescent="0.35">
      <c r="A109" t="s">
        <v>50</v>
      </c>
      <c r="B109" s="15" t="s">
        <v>13</v>
      </c>
      <c r="C109" s="10">
        <v>51925000</v>
      </c>
    </row>
    <row r="110" spans="1:4" x14ac:dyDescent="0.35">
      <c r="A110" t="s">
        <v>50</v>
      </c>
      <c r="B110" s="15" t="s">
        <v>14</v>
      </c>
      <c r="C110" s="10">
        <v>51505000</v>
      </c>
    </row>
    <row r="111" spans="1:4" x14ac:dyDescent="0.35">
      <c r="A111" t="s">
        <v>50</v>
      </c>
      <c r="B111" s="15" t="s">
        <v>15</v>
      </c>
      <c r="C111" s="10">
        <v>64076000</v>
      </c>
    </row>
    <row r="112" spans="1:4" x14ac:dyDescent="0.35">
      <c r="A112" t="s">
        <v>50</v>
      </c>
      <c r="B112" s="15" t="s">
        <v>16</v>
      </c>
      <c r="C112" s="10">
        <v>599002000</v>
      </c>
    </row>
    <row r="113" spans="1:3" x14ac:dyDescent="0.35">
      <c r="A113" t="s">
        <v>65</v>
      </c>
      <c r="B113" s="15" t="s">
        <v>12</v>
      </c>
      <c r="C113" s="10">
        <v>62216000</v>
      </c>
    </row>
    <row r="114" spans="1:3" x14ac:dyDescent="0.35">
      <c r="A114" t="s">
        <v>65</v>
      </c>
      <c r="B114" s="15" t="s">
        <v>13</v>
      </c>
      <c r="C114" s="10">
        <v>3130000</v>
      </c>
    </row>
    <row r="115" spans="1:3" x14ac:dyDescent="0.35">
      <c r="A115" t="s">
        <v>65</v>
      </c>
      <c r="B115" s="15" t="s">
        <v>14</v>
      </c>
      <c r="C115" s="10">
        <v>1162000</v>
      </c>
    </row>
    <row r="116" spans="1:3" x14ac:dyDescent="0.35">
      <c r="A116" t="s">
        <v>65</v>
      </c>
      <c r="B116" s="15" t="s">
        <v>15</v>
      </c>
      <c r="C116" s="10">
        <v>1197000</v>
      </c>
    </row>
    <row r="117" spans="1:3" x14ac:dyDescent="0.35">
      <c r="A117" t="s">
        <v>65</v>
      </c>
      <c r="B117" s="15" t="s">
        <v>16</v>
      </c>
      <c r="C117" s="10">
        <v>44089000</v>
      </c>
    </row>
    <row r="121" spans="1:3" x14ac:dyDescent="0.35">
      <c r="A121" s="16" t="s">
        <v>67</v>
      </c>
    </row>
    <row r="122" spans="1:3" x14ac:dyDescent="0.35">
      <c r="A122" t="s">
        <v>66</v>
      </c>
      <c r="B122" s="15" t="s">
        <v>12</v>
      </c>
      <c r="C122">
        <v>377</v>
      </c>
    </row>
    <row r="123" spans="1:3" x14ac:dyDescent="0.35">
      <c r="A123" t="s">
        <v>66</v>
      </c>
      <c r="B123" s="15" t="s">
        <v>13</v>
      </c>
      <c r="C123">
        <v>239</v>
      </c>
    </row>
    <row r="124" spans="1:3" x14ac:dyDescent="0.35">
      <c r="A124" t="s">
        <v>66</v>
      </c>
      <c r="B124" s="15" t="s">
        <v>14</v>
      </c>
      <c r="C124">
        <v>449</v>
      </c>
    </row>
    <row r="125" spans="1:3" x14ac:dyDescent="0.35">
      <c r="A125" t="s">
        <v>66</v>
      </c>
      <c r="B125" s="15" t="s">
        <v>15</v>
      </c>
      <c r="C125">
        <v>147</v>
      </c>
    </row>
    <row r="126" spans="1:3" x14ac:dyDescent="0.35">
      <c r="A126" t="s">
        <v>66</v>
      </c>
      <c r="B126" s="15" t="s">
        <v>16</v>
      </c>
      <c r="C126" s="10">
        <v>2363</v>
      </c>
    </row>
    <row r="127" spans="1:3" x14ac:dyDescent="0.35">
      <c r="A127" t="s">
        <v>61</v>
      </c>
      <c r="B127" s="15" t="s">
        <v>12</v>
      </c>
      <c r="C127" s="10">
        <v>4701000</v>
      </c>
    </row>
    <row r="128" spans="1:3" x14ac:dyDescent="0.35">
      <c r="A128" t="s">
        <v>61</v>
      </c>
      <c r="B128" s="15" t="s">
        <v>13</v>
      </c>
      <c r="C128" s="10">
        <v>1047000</v>
      </c>
    </row>
    <row r="129" spans="1:3" x14ac:dyDescent="0.35">
      <c r="A129" t="s">
        <v>61</v>
      </c>
      <c r="B129" s="15" t="s">
        <v>14</v>
      </c>
      <c r="C129" s="10">
        <v>197000</v>
      </c>
    </row>
    <row r="130" spans="1:3" x14ac:dyDescent="0.35">
      <c r="A130" t="s">
        <v>61</v>
      </c>
      <c r="B130" s="15" t="s">
        <v>15</v>
      </c>
      <c r="C130" s="10">
        <v>106000</v>
      </c>
    </row>
    <row r="131" spans="1:3" x14ac:dyDescent="0.35">
      <c r="A131" t="s">
        <v>61</v>
      </c>
      <c r="B131" s="15" t="s">
        <v>16</v>
      </c>
      <c r="C131" s="10">
        <v>10811000</v>
      </c>
    </row>
    <row r="132" spans="1:3" x14ac:dyDescent="0.35">
      <c r="C132" s="10"/>
    </row>
    <row r="133" spans="1:3" x14ac:dyDescent="0.35">
      <c r="A133" s="16" t="s">
        <v>68</v>
      </c>
    </row>
    <row r="134" spans="1:3" x14ac:dyDescent="0.35">
      <c r="A134" t="s">
        <v>69</v>
      </c>
      <c r="B134" s="15" t="s">
        <v>12</v>
      </c>
      <c r="C134" s="13">
        <f>C127/C122</f>
        <v>12469.496021220159</v>
      </c>
    </row>
    <row r="135" spans="1:3" x14ac:dyDescent="0.35">
      <c r="A135" t="s">
        <v>69</v>
      </c>
      <c r="B135" s="15" t="s">
        <v>13</v>
      </c>
      <c r="C135" s="13">
        <f t="shared" ref="C135:C138" si="17">C128/C123</f>
        <v>4380.7531380753135</v>
      </c>
    </row>
    <row r="136" spans="1:3" x14ac:dyDescent="0.35">
      <c r="A136" t="s">
        <v>69</v>
      </c>
      <c r="B136" s="15" t="s">
        <v>14</v>
      </c>
      <c r="C136" s="13">
        <f t="shared" si="17"/>
        <v>438.75278396436528</v>
      </c>
    </row>
    <row r="137" spans="1:3" x14ac:dyDescent="0.35">
      <c r="A137" t="s">
        <v>69</v>
      </c>
      <c r="B137" s="15" t="s">
        <v>15</v>
      </c>
      <c r="C137" s="13">
        <f t="shared" si="17"/>
        <v>721.08843537414964</v>
      </c>
    </row>
    <row r="138" spans="1:3" x14ac:dyDescent="0.35">
      <c r="A138" t="s">
        <v>69</v>
      </c>
      <c r="B138" s="15" t="s">
        <v>16</v>
      </c>
      <c r="C138" s="13">
        <f t="shared" si="17"/>
        <v>4575.1163774862462</v>
      </c>
    </row>
    <row r="140" spans="1:3" x14ac:dyDescent="0.35">
      <c r="A140" t="s">
        <v>70</v>
      </c>
      <c r="C140" s="13">
        <f>SUM(C127:C131)/SUM(C122:C126)</f>
        <v>4716.643356643357</v>
      </c>
    </row>
    <row r="141" spans="1:3" x14ac:dyDescent="0.35">
      <c r="C141" s="13"/>
    </row>
    <row r="227" spans="1:3" x14ac:dyDescent="0.35">
      <c r="A227" t="s">
        <v>51</v>
      </c>
      <c r="B227" s="9" t="s">
        <v>12</v>
      </c>
      <c r="C227" s="10">
        <v>2348599000</v>
      </c>
    </row>
    <row r="228" spans="1:3" x14ac:dyDescent="0.35">
      <c r="A228" t="s">
        <v>51</v>
      </c>
      <c r="B228" s="9" t="s">
        <v>13</v>
      </c>
      <c r="C228" s="10">
        <v>545507000</v>
      </c>
    </row>
    <row r="229" spans="1:3" x14ac:dyDescent="0.35">
      <c r="A229" t="s">
        <v>51</v>
      </c>
      <c r="B229" s="9" t="s">
        <v>14</v>
      </c>
      <c r="C229" s="10">
        <v>274473000</v>
      </c>
    </row>
    <row r="230" spans="1:3" x14ac:dyDescent="0.35">
      <c r="A230" t="s">
        <v>51</v>
      </c>
      <c r="B230" s="9" t="s">
        <v>15</v>
      </c>
      <c r="C230" s="10">
        <v>758161000</v>
      </c>
    </row>
    <row r="231" spans="1:3" x14ac:dyDescent="0.35">
      <c r="A231" t="s">
        <v>51</v>
      </c>
      <c r="B231" s="9" t="s">
        <v>16</v>
      </c>
      <c r="C231" s="10">
        <v>3105363000</v>
      </c>
    </row>
    <row r="232" spans="1:3" x14ac:dyDescent="0.35">
      <c r="C232" s="10">
        <f>SUM(C227:C231)</f>
        <v>7032103000</v>
      </c>
    </row>
    <row r="234" spans="1:3" x14ac:dyDescent="0.35">
      <c r="A234" t="s">
        <v>52</v>
      </c>
      <c r="C234" s="13">
        <f>C232/'Texas Acres'!D5</f>
        <v>358.87319346329605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Texas Acres</vt:lpstr>
      <vt:lpstr>National Acres</vt:lpstr>
      <vt:lpstr>Net Cash Income</vt:lpstr>
      <vt:lpstr>Income</vt:lpstr>
      <vt:lpstr>Sales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Kannegieter</dc:creator>
  <cp:lastModifiedBy>Stan Kannegieter</cp:lastModifiedBy>
  <dcterms:created xsi:type="dcterms:W3CDTF">2024-09-10T22:25:43Z</dcterms:created>
  <dcterms:modified xsi:type="dcterms:W3CDTF">2026-04-03T22:43:30Z</dcterms:modified>
</cp:coreProperties>
</file>