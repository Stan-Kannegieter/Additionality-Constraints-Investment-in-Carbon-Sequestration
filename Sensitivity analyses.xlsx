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n Kannegieter\Documents\2021-2026 Rice University\School\CES\Nature publication\Figures\"/>
    </mc:Choice>
  </mc:AlternateContent>
  <xr:revisionPtr revIDLastSave="0" documentId="13_ncr:1_{4D9A1895-3EED-47D6-A322-ACF2056DBD95}" xr6:coauthVersionLast="47" xr6:coauthVersionMax="47" xr10:uidLastSave="{00000000-0000-0000-0000-000000000000}"/>
  <bookViews>
    <workbookView xWindow="-110" yWindow="-110" windowWidth="19420" windowHeight="10300" xr2:uid="{E168EE27-0B8A-433A-A63C-73D1A6D74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B46" i="1"/>
  <c r="P22" i="1"/>
  <c r="O22" i="1"/>
  <c r="N22" i="1"/>
  <c r="C22" i="1"/>
  <c r="D22" i="1"/>
  <c r="B22" i="1"/>
</calcChain>
</file>

<file path=xl/sharedStrings.xml><?xml version="1.0" encoding="utf-8"?>
<sst xmlns="http://schemas.openxmlformats.org/spreadsheetml/2006/main" count="17" uniqueCount="9">
  <si>
    <t>Scenario 2</t>
  </si>
  <si>
    <t>Scenario 3</t>
  </si>
  <si>
    <t>Scenario 4</t>
  </si>
  <si>
    <t>Full monetization</t>
  </si>
  <si>
    <t>Additionality constraint</t>
  </si>
  <si>
    <t>oilseed and grain farmers</t>
  </si>
  <si>
    <t>vegetable and melon farmers</t>
  </si>
  <si>
    <t>15-year</t>
  </si>
  <si>
    <t>30-year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</si>
</sst>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24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Additionality constraint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Sheet1!$B$3:$D$3</c:f>
              <c:numCache>
                <c:formatCode>0.00</c:formatCode>
                <c:ptCount val="3"/>
                <c:pt idx="0">
                  <c:v>2.11625512712844</c:v>
                </c:pt>
                <c:pt idx="1">
                  <c:v>2.01807039538767</c:v>
                </c:pt>
                <c:pt idx="2">
                  <c:v>2.1791982814856898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7F-462C-86AA-78E97436C4D5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Full monetization</c:v>
                </c:pt>
              </c:strCache>
            </c:strRef>
          </c:tx>
          <c:spPr>
            <a:solidFill>
              <a:srgbClr val="0624BA"/>
            </a:solidFill>
            <a:ln>
              <a:noFill/>
            </a:ln>
            <a:effectLst/>
          </c:spPr>
          <c:invertIfNegative val="0"/>
          <c:val>
            <c:numRef>
              <c:f>Sheet1!$B$4:$D$4</c:f>
              <c:numCache>
                <c:formatCode>0.00</c:formatCode>
                <c:ptCount val="3"/>
                <c:pt idx="0">
                  <c:v>5.6948357461821004</c:v>
                </c:pt>
                <c:pt idx="1">
                  <c:v>4.99754715773651</c:v>
                </c:pt>
                <c:pt idx="2">
                  <c:v>6.3058700170399202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7F-462C-86AA-78E97436C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072880"/>
        <c:axId val="577074800"/>
      </c:barChart>
      <c:catAx>
        <c:axId val="57707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74800"/>
        <c:crosses val="autoZero"/>
        <c:auto val="1"/>
        <c:lblAlgn val="ctr"/>
        <c:lblOffset val="100"/>
        <c:noMultiLvlLbl val="0"/>
      </c:catAx>
      <c:valAx>
        <c:axId val="5770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level (Mg/ha)</a:t>
                </a:r>
              </a:p>
              <a:p>
                <a:pPr>
                  <a:defRPr/>
                </a:pPr>
                <a:endParaRPr lang="en-US" sz="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7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Additionality constraint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Sheet1!$N$3:$P$3</c:f>
              <c:numCache>
                <c:formatCode>0.00</c:formatCode>
                <c:ptCount val="3"/>
                <c:pt idx="0">
                  <c:v>4.2172793678654701</c:v>
                </c:pt>
                <c:pt idx="1">
                  <c:v>3.9788143479807201</c:v>
                </c:pt>
                <c:pt idx="2">
                  <c:v>4.3762974381111697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4-4723-8F74-EEDC92A1E67F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Full monetization</c:v>
                </c:pt>
              </c:strCache>
            </c:strRef>
          </c:tx>
          <c:spPr>
            <a:solidFill>
              <a:srgbClr val="0624BA"/>
            </a:solidFill>
            <a:ln>
              <a:noFill/>
            </a:ln>
            <a:effectLst/>
          </c:spPr>
          <c:invertIfNegative val="0"/>
          <c:val>
            <c:numRef>
              <c:f>Sheet1!$N$4:$P$4</c:f>
              <c:numCache>
                <c:formatCode>0.00</c:formatCode>
                <c:ptCount val="3"/>
                <c:pt idx="0">
                  <c:v>5.8780863737196096</c:v>
                </c:pt>
                <c:pt idx="1">
                  <c:v>5.2988924239341797</c:v>
                </c:pt>
                <c:pt idx="2">
                  <c:v>6.3039865202790297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4-4723-8F74-EEDC92A1E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072880"/>
        <c:axId val="577074800"/>
      </c:barChart>
      <c:catAx>
        <c:axId val="577072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7074800"/>
        <c:crosses val="autoZero"/>
        <c:auto val="1"/>
        <c:lblAlgn val="ctr"/>
        <c:lblOffset val="100"/>
        <c:noMultiLvlLbl val="0"/>
      </c:catAx>
      <c:valAx>
        <c:axId val="5770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level (Mg/ha)</a:t>
                </a:r>
              </a:p>
              <a:p>
                <a:pPr>
                  <a:defRPr/>
                </a:pPr>
                <a:endParaRPr lang="en-US" sz="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7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Sheet1!$A$27</c:f>
              <c:strCache>
                <c:ptCount val="1"/>
                <c:pt idx="0">
                  <c:v>Additionality constraint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Sheet1!$B$27:$C$27</c:f>
              <c:numCache>
                <c:formatCode>0.00</c:formatCode>
                <c:ptCount val="2"/>
                <c:pt idx="0">
                  <c:v>10.9244210353872</c:v>
                </c:pt>
                <c:pt idx="1">
                  <c:v>9.4253268440160998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9-43AC-B2CF-AA604BB2D89E}"/>
            </c:ext>
          </c:extLst>
        </c:ser>
        <c:ser>
          <c:idx val="1"/>
          <c:order val="1"/>
          <c:tx>
            <c:strRef>
              <c:f>Sheet1!$A$28</c:f>
              <c:strCache>
                <c:ptCount val="1"/>
                <c:pt idx="0">
                  <c:v>Full monetization</c:v>
                </c:pt>
              </c:strCache>
            </c:strRef>
          </c:tx>
          <c:spPr>
            <a:solidFill>
              <a:srgbClr val="0624BA"/>
            </a:solidFill>
            <a:ln>
              <a:noFill/>
            </a:ln>
            <a:effectLst/>
          </c:spPr>
          <c:invertIfNegative val="0"/>
          <c:val>
            <c:numRef>
              <c:f>Sheet1!$B$28:$C$28</c:f>
              <c:numCache>
                <c:formatCode>0.00</c:formatCode>
                <c:ptCount val="2"/>
                <c:pt idx="0">
                  <c:v>32.326935249253097</c:v>
                </c:pt>
                <c:pt idx="1">
                  <c:v>31.362030801969201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9-43AC-B2CF-AA604BB2D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072880"/>
        <c:axId val="577074800"/>
      </c:barChart>
      <c:catAx>
        <c:axId val="577072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7074800"/>
        <c:crosses val="autoZero"/>
        <c:auto val="0"/>
        <c:lblAlgn val="ctr"/>
        <c:lblOffset val="100"/>
        <c:noMultiLvlLbl val="0"/>
      </c:catAx>
      <c:valAx>
        <c:axId val="5770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level (Mg/ha)</a:t>
                </a:r>
              </a:p>
              <a:p>
                <a:pPr>
                  <a:defRPr/>
                </a:pPr>
                <a:endParaRPr lang="en-US" sz="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7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4</xdr:row>
      <xdr:rowOff>142875</xdr:rowOff>
    </xdr:from>
    <xdr:to>
      <xdr:col>8</xdr:col>
      <xdr:colOff>244475</xdr:colOff>
      <xdr:row>19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528203-6558-495C-9C63-8A6A8972E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205704</xdr:colOff>
      <xdr:row>5</xdr:row>
      <xdr:rowOff>116267</xdr:rowOff>
    </xdr:from>
    <xdr:to>
      <xdr:col>18</xdr:col>
      <xdr:colOff>505227</xdr:colOff>
      <xdr:row>20</xdr:row>
      <xdr:rowOff>94042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B226F-7B1A-44C3-B3A5-5B8F3AF9D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178874</xdr:colOff>
      <xdr:row>29</xdr:row>
      <xdr:rowOff>98381</xdr:rowOff>
    </xdr:from>
    <xdr:to>
      <xdr:col>8</xdr:col>
      <xdr:colOff>299524</xdr:colOff>
      <xdr:row>44</xdr:row>
      <xdr:rowOff>76155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5C8C73-1F48-4D59-B69B-0858D9FC5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09EF-DB50-41FD-81B8-B12E5BEFB644}">
  <dimension ref="A1:P47"/>
  <sheetViews>
    <sheetView tabSelected="1" zoomScale="71" zoomScaleNormal="71" workbookViewId="0">
      <selection activeCell="J3" sqref="J3"/>
    </sheetView>
  </sheetViews>
  <sheetFormatPr defaultRowHeight="14.5" x14ac:dyDescent="0.35"/>
  <cols>
    <col min="2" max="3" width="10" bestFit="1" customWidth="1"/>
  </cols>
  <sheetData>
    <row r="1" spans="1:16" x14ac:dyDescent="0.35">
      <c r="A1" t="s">
        <v>5</v>
      </c>
      <c r="M1" t="s">
        <v>6</v>
      </c>
    </row>
    <row r="2" spans="1:16" x14ac:dyDescent="0.35">
      <c r="B2" t="s">
        <v>0</v>
      </c>
      <c r="C2" t="s">
        <v>1</v>
      </c>
      <c r="D2" t="s">
        <v>2</v>
      </c>
      <c r="N2" t="s">
        <v>0</v>
      </c>
      <c r="O2" t="s">
        <v>1</v>
      </c>
      <c r="P2" t="s">
        <v>2</v>
      </c>
    </row>
    <row r="3" spans="1:16" x14ac:dyDescent="0.35">
      <c r="A3" t="s">
        <v>4</v>
      </c>
      <c r="B3" s="1">
        <v>2.11625512712844</v>
      </c>
      <c r="C3" s="1">
        <v>2.01807039538767</v>
      </c>
      <c r="D3" s="1">
        <v>2.1791982814856898</v>
      </c>
      <c r="M3" t="s">
        <v>4</v>
      </c>
      <c r="N3" s="1">
        <v>4.2172793678654701</v>
      </c>
      <c r="O3" s="1">
        <v>3.9788143479807201</v>
      </c>
      <c r="P3" s="1">
        <v>4.3762974381111697</v>
      </c>
    </row>
    <row r="4" spans="1:16" x14ac:dyDescent="0.35">
      <c r="A4" t="s">
        <v>3</v>
      </c>
      <c r="B4" s="1">
        <v>5.6948357461821004</v>
      </c>
      <c r="C4" s="1">
        <v>4.99754715773651</v>
      </c>
      <c r="D4" s="1">
        <v>6.3058700170399202</v>
      </c>
      <c r="M4" t="s">
        <v>3</v>
      </c>
      <c r="N4" s="1">
        <v>5.8780863737196096</v>
      </c>
      <c r="O4" s="1">
        <v>5.2988924239341797</v>
      </c>
      <c r="P4" s="1">
        <v>6.3039865202790297</v>
      </c>
    </row>
    <row r="22" spans="1:16" x14ac:dyDescent="0.35">
      <c r="B22" s="2">
        <f>(B4-B3)/B3</f>
        <v>1.6909967863418525</v>
      </c>
      <c r="C22" s="2">
        <f>(C4-C3)/C3</f>
        <v>1.4763988259074008</v>
      </c>
      <c r="D22" s="2">
        <f t="shared" ref="D22" si="0">(D4-D3)/D3</f>
        <v>1.8936651018010311</v>
      </c>
      <c r="N22" s="2">
        <f>(N4-N3)/N3</f>
        <v>0.39381005169091726</v>
      </c>
      <c r="O22" s="2">
        <f>(O4-O3)/O3</f>
        <v>0.33177674565876886</v>
      </c>
      <c r="P22" s="2">
        <f t="shared" ref="P22" si="1">(P4-P3)/P3</f>
        <v>0.44048401860908698</v>
      </c>
    </row>
    <row r="25" spans="1:16" x14ac:dyDescent="0.35">
      <c r="A25" t="s">
        <v>5</v>
      </c>
    </row>
    <row r="26" spans="1:16" x14ac:dyDescent="0.35">
      <c r="B26" t="s">
        <v>7</v>
      </c>
      <c r="C26" t="s">
        <v>8</v>
      </c>
    </row>
    <row r="27" spans="1:16" x14ac:dyDescent="0.35">
      <c r="A27" t="s">
        <v>4</v>
      </c>
      <c r="B27" s="1">
        <v>10.9244210353872</v>
      </c>
      <c r="C27" s="1">
        <v>9.4253268440160998</v>
      </c>
      <c r="D27" s="1"/>
    </row>
    <row r="28" spans="1:16" x14ac:dyDescent="0.35">
      <c r="A28" t="s">
        <v>3</v>
      </c>
      <c r="B28" s="1">
        <v>32.326935249253097</v>
      </c>
      <c r="C28" s="1">
        <v>31.362030801969201</v>
      </c>
      <c r="D28" s="1"/>
    </row>
    <row r="46" spans="2:3" x14ac:dyDescent="0.35">
      <c r="B46" s="2">
        <f>(B28-B27)/B27</f>
        <v>1.9591440264465529</v>
      </c>
      <c r="C46" s="2">
        <f>(C28-C27)/C27</f>
        <v>2.3274210349405715</v>
      </c>
    </row>
    <row r="47" spans="2:3" x14ac:dyDescent="0.35">
      <c r="B47" s="2"/>
      <c r="C47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Kannegieter</dc:creator>
  <cp:lastModifiedBy>Stan Kannegieter</cp:lastModifiedBy>
  <dcterms:created xsi:type="dcterms:W3CDTF">2025-05-14T19:25:17Z</dcterms:created>
  <dcterms:modified xsi:type="dcterms:W3CDTF">2026-04-01T22:22:06Z</dcterms:modified>
</cp:coreProperties>
</file>